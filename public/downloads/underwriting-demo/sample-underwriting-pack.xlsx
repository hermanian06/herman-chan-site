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49" fontId="4" fillId="0" borderId="0" applyAlignment="1" pivotButton="0" quotePrefix="0" xfId="0">
      <alignment vertical="top" wrapText="1"/>
    </xf>
    <xf numFmtId="168" fontId="0" fillId="0" borderId="0" pivotButton="0" quotePrefix="0" xfId="0"/>
    <xf numFmtId="0" fontId="0" fillId="0" borderId="0" applyAlignment="1" pivotButton="0" quotePrefix="0" xfId="0">
      <alignment vertical="top" wrapText="1"/>
    </xf>
    <xf numFmtId="49" fontId="5" fillId="0" borderId="0" pivotButton="0" quotePrefix="0" xfId="0"/>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 move-in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Analysis'!H8</f>
            </strRef>
          </tx>
          <spPr>
            <a:ln>
              <a:prstDash val="solid"/>
            </a:ln>
          </spPr>
          <cat>
            <numRef>
              <f>'RR Analysis'!$B$9:$B$18</f>
            </numRef>
          </cat>
          <val>
            <numRef>
              <f>'RR Analysis'!$H$9:$H$18</f>
            </numRef>
          </val>
        </ser>
        <ser>
          <idx val="2"/>
          <order val="2"/>
          <tx>
            <strRef>
              <f>'RR Analysis'!J8</f>
            </strRef>
          </tx>
          <spPr>
            <a:ln>
              <a:prstDash val="solid"/>
            </a:ln>
          </spPr>
          <cat>
            <numRef>
              <f>'RR Analysis'!$B$9:$B$18</f>
            </numRef>
          </cat>
          <val>
            <numRef>
              <f>'RR Analysis'!$J$9:$J$18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Sample Mesa Apt</t>
        </is>
      </c>
      <c r="D6" s="6" t="inlineStr">
        <is>
          <t>Illustrative name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 move-in rent (residents who moved in inside the lookback window, by move-in date) where the plan has one, otherwise in-place (in-place outright when the roll has no usable lease start or move-in date).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Sample Mesa Apt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6">
      <c r="A56" s="2" t="inlineStr">
        <is>
          <t>Home values: Zillow Home Value Index (ZHVI), Zillow Group</t>
        </is>
      </c>
    </row>
    <row r="58">
      <c r="A58" s="4" t="inlineStr">
        <is>
          <t>Labor market</t>
        </is>
      </c>
      <c r="B58" s="4" t="n"/>
      <c r="C58" s="4" t="n"/>
      <c r="D58" s="4" t="n"/>
      <c r="E58" s="4" t="n"/>
      <c r="F58" s="4" t="n"/>
      <c r="G58" s="4" t="n"/>
      <c r="H58" s="4" t="n"/>
    </row>
    <row r="59">
      <c r="A59" s="6" t="inlineStr">
        <is>
          <t>Ring job counts are WORKPLACE counts — jobs located inside the ring, not residents who hold jobs. The unemployment row above is the opposite: residents. The two answer different questions and are not interchangeable.</t>
        </is>
      </c>
    </row>
    <row r="60">
      <c r="A60" s="14" t="inlineStr"/>
      <c r="B60" s="14" t="inlineStr">
        <is>
          <t>1 mi</t>
        </is>
      </c>
      <c r="C60" s="14" t="inlineStr">
        <is>
          <t>3 mi</t>
        </is>
      </c>
      <c r="D60" s="14" t="inlineStr">
        <is>
          <t>5 mi</t>
        </is>
      </c>
      <c r="E60" s="14" t="inlineStr">
        <is>
          <t>10 mi</t>
        </is>
      </c>
      <c r="F60" s="14" t="inlineStr">
        <is>
          <t>Phoenix MSA</t>
        </is>
      </c>
      <c r="G60" s="14" t="inlineStr">
        <is>
          <t>Arizona</t>
        </is>
      </c>
      <c r="H60" s="14" t="inlineStr">
        <is>
          <t>U.S.</t>
        </is>
      </c>
    </row>
    <row r="61">
      <c r="A61" s="5" t="inlineStr">
        <is>
          <t>Unemployment rate (residents, ACS)</t>
        </is>
      </c>
      <c r="B61" s="11" t="n">
        <v>0.052</v>
      </c>
      <c r="C61" s="11" t="n">
        <v>0.046</v>
      </c>
      <c r="D61" s="11" t="n">
        <v>0.045</v>
      </c>
      <c r="E61" s="11" t="n">
        <v>0.043</v>
      </c>
      <c r="F61" s="11" t="n">
        <v>0.047</v>
      </c>
      <c r="G61" s="11" t="n">
        <v>0.051</v>
      </c>
      <c r="H61" s="11" t="n">
        <v>0.052</v>
      </c>
    </row>
    <row r="62">
      <c r="A62" s="13" t="inlineStr">
        <is>
          <t>Jobs located inside the ring — LODES workplace counts</t>
        </is>
      </c>
    </row>
    <row r="63">
      <c r="A63" s="5" t="inlineStr">
        <is>
          <t xml:space="preserve">    2019</t>
        </is>
      </c>
      <c r="B63" s="7" t="n">
        <v>4140</v>
      </c>
      <c r="C63" s="7" t="n">
        <v>59139</v>
      </c>
      <c r="D63" s="7" t="n">
        <v>150089</v>
      </c>
      <c r="E63" s="7" t="n">
        <v>458614</v>
      </c>
      <c r="F63" s="12" t="n"/>
      <c r="G63" s="12" t="n"/>
      <c r="H63" s="12" t="n"/>
    </row>
    <row r="64">
      <c r="A64" s="5" t="inlineStr">
        <is>
          <t xml:space="preserve">    2020</t>
        </is>
      </c>
      <c r="B64" s="7" t="n">
        <v>4549</v>
      </c>
      <c r="C64" s="7" t="n">
        <v>58261</v>
      </c>
      <c r="D64" s="7" t="n">
        <v>150082</v>
      </c>
      <c r="E64" s="7" t="n">
        <v>455835</v>
      </c>
      <c r="F64" s="12" t="n"/>
      <c r="G64" s="12" t="n"/>
      <c r="H64" s="12" t="n"/>
    </row>
    <row r="65">
      <c r="A65" s="5" t="inlineStr">
        <is>
          <t xml:space="preserve">    2021</t>
        </is>
      </c>
      <c r="B65" s="7" t="n">
        <v>4552</v>
      </c>
      <c r="C65" s="7" t="n">
        <v>59079</v>
      </c>
      <c r="D65" s="7" t="n">
        <v>152118</v>
      </c>
      <c r="E65" s="7" t="n">
        <v>466392</v>
      </c>
      <c r="F65" s="12" t="n"/>
      <c r="G65" s="12" t="n"/>
      <c r="H65" s="12" t="n"/>
    </row>
    <row r="66">
      <c r="A66" s="5" t="inlineStr">
        <is>
          <t xml:space="preserve">    2022</t>
        </is>
      </c>
      <c r="B66" s="7" t="n">
        <v>4741</v>
      </c>
      <c r="C66" s="7" t="n">
        <v>63403</v>
      </c>
      <c r="D66" s="7" t="n">
        <v>162056</v>
      </c>
      <c r="E66" s="7" t="n">
        <v>501214</v>
      </c>
      <c r="F66" s="12" t="n"/>
      <c r="G66" s="12" t="n"/>
      <c r="H66" s="12" t="n"/>
    </row>
    <row r="67">
      <c r="A67" s="5" t="inlineStr">
        <is>
          <t xml:space="preserve">    2023  (latest)</t>
        </is>
      </c>
      <c r="B67" s="7" t="n">
        <v>5239</v>
      </c>
      <c r="C67" s="7" t="n">
        <v>65083</v>
      </c>
      <c r="D67" s="7" t="n">
        <v>165142</v>
      </c>
      <c r="E67" s="7" t="n">
        <v>516916</v>
      </c>
      <c r="F67" s="12" t="n"/>
      <c r="G67" s="12" t="n"/>
      <c r="H67" s="12" t="n"/>
    </row>
    <row r="68">
      <c r="A68" s="5" t="inlineStr">
        <is>
          <t xml:space="preserve">    Job growth 2019 to 2023</t>
        </is>
      </c>
      <c r="B68" s="11" t="n">
        <v>0.2654589371980676</v>
      </c>
      <c r="C68" s="11" t="n">
        <v>0.1005089703917887</v>
      </c>
      <c r="D68" s="11" t="n">
        <v>0.1002938256634396</v>
      </c>
      <c r="E68" s="11" t="n">
        <v>0.1271265159807595</v>
      </c>
      <c r="F68" s="12" t="n"/>
      <c r="G68" s="12" t="n"/>
      <c r="H68" s="12" t="n"/>
      <c r="I68" s="2" t="inlineStr">
        <is>
          <t>Already a fraction in the engine's output, unlike the rates above.</t>
        </is>
      </c>
    </row>
    <row r="69">
      <c r="A69" s="5" t="inlineStr">
        <is>
          <t xml:space="preserve">    Job CAGR (4-yr)</t>
        </is>
      </c>
      <c r="B69" s="11" t="n">
        <v>0.06062537773196808</v>
      </c>
      <c r="C69" s="11" t="n">
        <v>0.02423213297708893</v>
      </c>
      <c r="D69" s="11" t="n">
        <v>0.02418207107245318</v>
      </c>
      <c r="E69" s="11" t="n">
        <v>0.03036990821614882</v>
      </c>
      <c r="F69" s="12" t="n"/>
      <c r="G69" s="12" t="n"/>
      <c r="H69" s="12" t="n"/>
    </row>
    <row r="71">
      <c r="A71" s="13" t="inlineStr">
        <is>
          <t>Metro nonfarm employment and unemployment — Maricopa County, Arizona</t>
        </is>
      </c>
    </row>
    <row r="72">
      <c r="A72" s="14" t="inlineStr">
        <is>
          <t>Year</t>
        </is>
      </c>
      <c r="B72" s="14" t="inlineStr">
        <is>
          <t>Nonfarm jobs (000s)</t>
        </is>
      </c>
      <c r="C72" s="14" t="inlineStr">
        <is>
          <t>Job growth</t>
        </is>
      </c>
      <c r="D72" s="14" t="inlineStr">
        <is>
          <t>Unemployment</t>
        </is>
      </c>
    </row>
    <row r="73">
      <c r="A73" s="12" t="n">
        <v>2026</v>
      </c>
      <c r="B73" s="10" t="n">
        <v>2469.37</v>
      </c>
      <c r="C73" s="11" t="n">
        <v>0.002793919975309533</v>
      </c>
      <c r="D73" s="11" t="n">
        <v>0.0431</v>
      </c>
    </row>
    <row r="74">
      <c r="A74" s="12" t="n">
        <v>2025</v>
      </c>
      <c r="B74" s="10" t="n">
        <v>2462.49</v>
      </c>
      <c r="C74" s="11" t="n">
        <v>0.002626178726730766</v>
      </c>
      <c r="D74" s="11" t="n">
        <v>0.0381</v>
      </c>
    </row>
    <row r="75">
      <c r="A75" s="12" t="n">
        <v>2024</v>
      </c>
      <c r="B75" s="10" t="n">
        <v>2456.04</v>
      </c>
      <c r="C75" s="11" t="n">
        <v>0.02243406947942472</v>
      </c>
      <c r="D75" s="11" t="n">
        <v>0.0328</v>
      </c>
    </row>
    <row r="76">
      <c r="A76" s="12" t="n">
        <v>2023</v>
      </c>
      <c r="B76" s="10" t="n">
        <v>2402.15</v>
      </c>
      <c r="C76" s="11" t="n">
        <v>0.03166081866321946</v>
      </c>
      <c r="D76" s="11" t="n">
        <v>0.0326</v>
      </c>
    </row>
    <row r="77">
      <c r="A77" s="12" t="n">
        <v>2022</v>
      </c>
      <c r="B77" s="10" t="n">
        <v>2328.43</v>
      </c>
      <c r="C77" s="11" t="n">
        <v>0.05041323059710923</v>
      </c>
      <c r="D77" s="11" t="n">
        <v>0.0332</v>
      </c>
    </row>
    <row r="78">
      <c r="A78" s="12" t="n">
        <v>2021</v>
      </c>
      <c r="B78" s="10" t="n">
        <v>2216.68</v>
      </c>
      <c r="C78" s="11" t="n">
        <v>0.04558897751446889</v>
      </c>
      <c r="D78" s="11" t="n">
        <v>0.0462</v>
      </c>
    </row>
    <row r="79">
      <c r="A79" s="12" t="n">
        <v>2020</v>
      </c>
      <c r="B79" s="10" t="n">
        <v>2120.03</v>
      </c>
      <c r="C79" s="11" t="n">
        <v>-0.02628980328576602</v>
      </c>
      <c r="D79" s="11" t="n">
        <v>0.0728</v>
      </c>
    </row>
    <row r="80">
      <c r="A80" s="12" t="n">
        <v>2019</v>
      </c>
      <c r="B80" s="10" t="n">
        <v>2177.27</v>
      </c>
      <c r="C80" s="11" t="n">
        <v>0.03380213477170857</v>
      </c>
      <c r="D80" s="11" t="n">
        <v>0.0413</v>
      </c>
    </row>
    <row r="81">
      <c r="A81" s="12" t="n">
        <v>2018</v>
      </c>
      <c r="B81" s="10" t="n">
        <v>2106.08</v>
      </c>
      <c r="C81" s="11" t="n">
        <v>0.03344079531681654</v>
      </c>
      <c r="D81" s="11" t="n">
        <v>0.0415</v>
      </c>
    </row>
    <row r="82">
      <c r="A82" s="12" t="n">
        <v>2017</v>
      </c>
      <c r="B82" s="10" t="n">
        <v>2037.93</v>
      </c>
      <c r="C82" s="11" t="n">
        <v>0.03009517840264042</v>
      </c>
      <c r="D82" s="11" t="n">
        <v>0.0428</v>
      </c>
    </row>
    <row r="83">
      <c r="A83" s="12" t="n">
        <v>2016</v>
      </c>
      <c r="B83" s="10" t="n">
        <v>1978.39</v>
      </c>
      <c r="C83" s="12" t="n"/>
      <c r="D83" s="11" t="n">
        <v>0.0471</v>
      </c>
    </row>
    <row r="85">
      <c r="A85" s="4" t="inlineStr">
        <is>
          <t>Jobs by industry (2023)</t>
        </is>
      </c>
      <c r="B85" s="4" t="n"/>
      <c r="C85" s="4" t="n"/>
      <c r="D85" s="4" t="n"/>
      <c r="E85" s="4" t="n"/>
      <c r="F85" s="4" t="n"/>
      <c r="G85" s="4" t="n"/>
      <c r="H85" s="4" t="n"/>
    </row>
    <row r="86">
      <c r="A86"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7">
      <c r="A87" s="14" t="inlineStr"/>
      <c r="B87" s="14" t="inlineStr">
        <is>
          <t>1 mi</t>
        </is>
      </c>
      <c r="C87" s="14" t="inlineStr">
        <is>
          <t>3 mi</t>
        </is>
      </c>
      <c r="D87" s="14" t="inlineStr">
        <is>
          <t>5 mi</t>
        </is>
      </c>
      <c r="E87" s="14" t="inlineStr">
        <is>
          <t>10 mi</t>
        </is>
      </c>
      <c r="F87" s="14" t="inlineStr">
        <is>
          <t>Phoenix MSA</t>
        </is>
      </c>
      <c r="G87" s="14" t="inlineStr">
        <is>
          <t>Arizona</t>
        </is>
      </c>
      <c r="H87" s="14" t="inlineStr">
        <is>
          <t>U.S.</t>
        </is>
      </c>
    </row>
    <row r="88">
      <c r="A88" s="5" t="inlineStr">
        <is>
          <t>Health Care/Social Asst</t>
        </is>
      </c>
      <c r="B88" s="11" t="n">
        <v>0.1675892345867532</v>
      </c>
      <c r="C88" s="11" t="n">
        <v>0.1324022003011585</v>
      </c>
      <c r="D88" s="11" t="n">
        <v>0.128294871717239</v>
      </c>
      <c r="E88" s="11" t="n">
        <v>0.1575223875399726</v>
      </c>
      <c r="F88" s="11" t="n">
        <v>0.1439230188830762</v>
      </c>
      <c r="G88" s="11" t="n">
        <v>0.1480747084992491</v>
      </c>
      <c r="H88" s="11" t="n">
        <v>0.1524112221376376</v>
      </c>
      <c r="I88" s="2" t="inlineStr">
        <is>
          <t>Location quotient vs U.S.: 0.94x — less concentrated here.</t>
        </is>
      </c>
    </row>
    <row r="89">
      <c r="A89" s="5" t="inlineStr">
        <is>
          <t>Retail Trade</t>
        </is>
      </c>
      <c r="B89" s="11" t="n">
        <v>0.1402939492269517</v>
      </c>
      <c r="C89" s="11" t="n">
        <v>0.1312959036292677</v>
      </c>
      <c r="D89" s="11" t="n">
        <v>0.1295604415567115</v>
      </c>
      <c r="E89" s="11" t="n">
        <v>0.1260357078602561</v>
      </c>
      <c r="F89" s="11" t="n">
        <v>0.1090536545703669</v>
      </c>
      <c r="G89" s="11" t="n">
        <v>0.1100206596769526</v>
      </c>
      <c r="H89" s="11" t="n">
        <v>0.1019921721752688</v>
      </c>
      <c r="I89" s="2" t="inlineStr">
        <is>
          <t>Location quotient vs U.S.: 1.07x — more concentrated here.</t>
        </is>
      </c>
    </row>
    <row r="90">
      <c r="A90" s="5" t="inlineStr">
        <is>
          <t>Accommodation/Food Svcs</t>
        </is>
      </c>
      <c r="B90" s="11" t="n">
        <v>0.1093720175606032</v>
      </c>
      <c r="C90" s="11" t="n">
        <v>0.09160751052518361</v>
      </c>
      <c r="D90" s="11" t="n">
        <v>0.09612275421907074</v>
      </c>
      <c r="E90" s="11" t="n">
        <v>0.0974934080326242</v>
      </c>
      <c r="F90" s="11" t="n">
        <v>0.09153364975214603</v>
      </c>
      <c r="G90" s="11" t="n">
        <v>0.09799831322286184</v>
      </c>
      <c r="H90" s="11" t="n">
        <v>0.09210003364899073</v>
      </c>
      <c r="I90" s="2" t="inlineStr">
        <is>
          <t>Location quotient vs U.S.: 0.99x — less concentrated here.</t>
        </is>
      </c>
    </row>
    <row r="91">
      <c r="A91" s="5" t="inlineStr">
        <is>
          <t>Admin/Support/Waste</t>
        </is>
      </c>
      <c r="B91" s="11" t="n">
        <v>0.09200229051345676</v>
      </c>
      <c r="C91" s="11" t="n">
        <v>0.1102148059371255</v>
      </c>
      <c r="D91" s="11" t="n">
        <v>0.09007950685163767</v>
      </c>
      <c r="E91" s="11" t="n">
        <v>0.07061675278623067</v>
      </c>
      <c r="F91" s="11" t="n">
        <v>0.08654896600644772</v>
      </c>
      <c r="G91" s="11" t="n">
        <v>0.08053357937738248</v>
      </c>
      <c r="H91" s="11" t="n">
        <v>0.06170694540515537</v>
      </c>
      <c r="I91" s="2" t="inlineStr">
        <is>
          <t>Location quotient vs U.S.: 1.40x — more concentrated here.</t>
        </is>
      </c>
    </row>
    <row r="92">
      <c r="A92" s="5" t="inlineStr">
        <is>
          <t>Construction</t>
        </is>
      </c>
      <c r="B92" s="11" t="n">
        <v>0.03397594960870395</v>
      </c>
      <c r="C92" s="11" t="n">
        <v>0.1437571064195937</v>
      </c>
      <c r="D92" s="11" t="n">
        <v>0.1065198040486124</v>
      </c>
      <c r="E92" s="11" t="n">
        <v>0.07423822393150158</v>
      </c>
      <c r="F92" s="11" t="n">
        <v>0.07168567465967132</v>
      </c>
      <c r="G92" s="11" t="n">
        <v>0.0692629280579044</v>
      </c>
      <c r="H92" s="11" t="n">
        <v>0.0531750429082045</v>
      </c>
      <c r="I92" s="2" t="inlineStr">
        <is>
          <t>Location quotient vs U.S.: 1.35x — more concentrated here.</t>
        </is>
      </c>
    </row>
    <row r="93">
      <c r="A93" s="5" t="inlineStr">
        <is>
          <t>Educational Services</t>
        </is>
      </c>
      <c r="B93" s="11" t="n">
        <v>0.05630845581217789</v>
      </c>
      <c r="C93" s="11" t="n">
        <v>0.09185335423004824</v>
      </c>
      <c r="D93" s="11" t="n">
        <v>0.1103528457155314</v>
      </c>
      <c r="E93" s="11" t="n">
        <v>0.09778359001541834</v>
      </c>
      <c r="F93" s="11" t="n">
        <v>0.0692937123890178</v>
      </c>
      <c r="G93" s="11" t="n">
        <v>0.07805244418719343</v>
      </c>
      <c r="H93" s="11" t="n">
        <v>0.08463384936674581</v>
      </c>
      <c r="I93" s="2" t="inlineStr">
        <is>
          <t>Location quotient vs U.S.: 0.82x — less concentrated here.</t>
        </is>
      </c>
    </row>
    <row r="94">
      <c r="A94" s="5" t="inlineStr">
        <is>
          <t>Finance/Insurance</t>
        </is>
      </c>
      <c r="B94" s="11" t="n">
        <v>0.01355220461920214</v>
      </c>
      <c r="C94" s="11" t="n">
        <v>0.02564457146369196</v>
      </c>
      <c r="D94" s="11" t="n">
        <v>0.02846623835100489</v>
      </c>
      <c r="E94" s="11" t="n">
        <v>0.06430626193373404</v>
      </c>
      <c r="F94" s="11" t="n">
        <v>0.06699836548547758</v>
      </c>
      <c r="G94" s="11" t="n">
        <v>0.05584002806837911</v>
      </c>
      <c r="H94" s="11" t="n">
        <v>0.04139724841428747</v>
      </c>
      <c r="I94" s="2" t="inlineStr">
        <is>
          <t>Location quotient vs U.S.: 1.62x — more concentrated here.</t>
        </is>
      </c>
    </row>
    <row r="95">
      <c r="A95" s="5" t="inlineStr">
        <is>
          <t>Manufacturing</t>
        </is>
      </c>
      <c r="B95" s="11" t="n">
        <v>0.005344531399121969</v>
      </c>
      <c r="C95" s="11" t="n">
        <v>0.03838234842199072</v>
      </c>
      <c r="D95" s="11" t="n">
        <v>0.04546362849167086</v>
      </c>
      <c r="E95" s="11" t="n">
        <v>0.06499302595968018</v>
      </c>
      <c r="F95" s="11" t="n">
        <v>0.06180957654864814</v>
      </c>
      <c r="G95" s="11" t="n">
        <v>0.06178450068945185</v>
      </c>
      <c r="H95" s="11" t="n">
        <v>0.08451882031580928</v>
      </c>
      <c r="I95" s="2" t="inlineStr">
        <is>
          <t>Location quotient vs U.S.: 0.73x — less concentrated here.</t>
        </is>
      </c>
    </row>
    <row r="96">
      <c r="A96" s="5" t="inlineStr">
        <is>
          <t>Professional/Scientific/Tech</t>
        </is>
      </c>
      <c r="B96" s="11" t="n">
        <v>0.03531208245848445</v>
      </c>
      <c r="C96" s="11" t="n">
        <v>0.06550198211487047</v>
      </c>
      <c r="D96" s="11" t="n">
        <v>0.05942728423245309</v>
      </c>
      <c r="E96" s="11" t="n">
        <v>0.06130384568509065</v>
      </c>
      <c r="F96" s="11" t="n">
        <v>0.06005544300027939</v>
      </c>
      <c r="G96" s="11" t="n">
        <v>0.05671111569578283</v>
      </c>
      <c r="H96" s="11" t="n">
        <v>0.07101058481218332</v>
      </c>
      <c r="I96" s="2" t="inlineStr">
        <is>
          <t>Location quotient vs U.S.: 0.85x — less concentrated here.</t>
        </is>
      </c>
    </row>
    <row r="97">
      <c r="A97" s="5" t="inlineStr">
        <is>
          <t>Transportation/Warehousing</t>
        </is>
      </c>
      <c r="B97" s="11" t="n">
        <v>0.01068906279824394</v>
      </c>
      <c r="C97" s="11" t="n">
        <v>0.006038536000737531</v>
      </c>
      <c r="D97" s="11" t="n">
        <v>0.01906832260525726</v>
      </c>
      <c r="E97" s="11" t="n">
        <v>0.02301916942178338</v>
      </c>
      <c r="F97" s="11" t="n">
        <v>0.0473268911935302</v>
      </c>
      <c r="G97" s="11" t="n">
        <v>0.04326179016785311</v>
      </c>
      <c r="H97" s="11" t="n">
        <v>0.04840196213219566</v>
      </c>
      <c r="I97" s="2" t="inlineStr">
        <is>
          <t>Location quotient vs U.S.: 0.98x — less concentrated here.</t>
        </is>
      </c>
    </row>
    <row r="98">
      <c r="A98" s="5" t="inlineStr">
        <is>
          <t>Wholesale Trade</t>
        </is>
      </c>
      <c r="B98" s="11" t="n">
        <v>0.007825920977285742</v>
      </c>
      <c r="C98" s="11" t="n">
        <v>0.03606219845733075</v>
      </c>
      <c r="D98" s="11" t="n">
        <v>0.03811847913626373</v>
      </c>
      <c r="E98" s="11" t="n">
        <v>0.03247329842121656</v>
      </c>
      <c r="F98" s="11" t="n">
        <v>0.04109248140049621</v>
      </c>
      <c r="G98" s="11" t="n">
        <v>0.03708044284108286</v>
      </c>
      <c r="H98" s="11" t="n">
        <v>0.03992451539947575</v>
      </c>
      <c r="I98" s="2" t="inlineStr">
        <is>
          <t>Location quotient vs U.S.: 1.03x — more concentrated here.</t>
        </is>
      </c>
    </row>
    <row r="99">
      <c r="A99" s="5" t="inlineStr">
        <is>
          <t>Public Administration</t>
        </is>
      </c>
      <c r="B99" s="11" t="n">
        <v>0</v>
      </c>
      <c r="C99" s="11" t="n">
        <v>0.001859193018038782</v>
      </c>
      <c r="D99" s="11" t="n">
        <v>0.02761848821930085</v>
      </c>
      <c r="E99" s="11" t="n">
        <v>0.02183329238543132</v>
      </c>
      <c r="F99" s="11" t="n">
        <v>0.03285591679200175</v>
      </c>
      <c r="G99" s="11" t="n">
        <v>0.04120792091186574</v>
      </c>
      <c r="H99" s="11" t="n">
        <v>0.04966983338636385</v>
      </c>
      <c r="I99" s="2" t="inlineStr">
        <is>
          <t>Location quotient vs U.S.: 0.66x — less concentrated here.</t>
        </is>
      </c>
    </row>
    <row r="100">
      <c r="A100" s="5" t="inlineStr">
        <is>
          <t>Other Services</t>
        </is>
      </c>
      <c r="B100" s="11" t="n">
        <v>0.01546096583317427</v>
      </c>
      <c r="C100" s="11" t="n">
        <v>0.02945514888909376</v>
      </c>
      <c r="D100" s="11" t="n">
        <v>0.03031917792458657</v>
      </c>
      <c r="E100" s="11" t="n">
        <v>0.02663677147395037</v>
      </c>
      <c r="F100" s="11" t="n">
        <v>0.02745633069056147</v>
      </c>
      <c r="G100" s="11" t="n">
        <v>0.02813810432102126</v>
      </c>
      <c r="H100" s="11" t="n">
        <v>0.03015265325357227</v>
      </c>
      <c r="I100" s="2" t="inlineStr">
        <is>
          <t>Location quotient vs U.S.: 0.91x — less concentrated here.</t>
        </is>
      </c>
    </row>
    <row r="101">
      <c r="A101" s="5" t="inlineStr">
        <is>
          <t>Arts/Entertainment/Rec</t>
        </is>
      </c>
      <c r="B101" s="11" t="n">
        <v>0.2744798625691926</v>
      </c>
      <c r="C101" s="11" t="n">
        <v>0.03211333394794259</v>
      </c>
      <c r="D101" s="11" t="n">
        <v>0.0287326741066833</v>
      </c>
      <c r="E101" s="11" t="n">
        <v>0.02107301559051066</v>
      </c>
      <c r="F101" s="11" t="n">
        <v>0.02090656164729619</v>
      </c>
      <c r="G101" s="11" t="n">
        <v>0.02117990984115704</v>
      </c>
      <c r="H101" s="11" t="n">
        <v>0.01844252444674844</v>
      </c>
      <c r="I101" s="2" t="inlineStr">
        <is>
          <t>Location quotient vs U.S.: 1.13x — more concentrated here.</t>
        </is>
      </c>
    </row>
    <row r="102">
      <c r="A102" s="5" t="inlineStr">
        <is>
          <t>Real Estate/Rental</t>
        </is>
      </c>
      <c r="B102" s="11" t="n">
        <v>0.03340332124451231</v>
      </c>
      <c r="C102" s="11" t="n">
        <v>0.03411081404996773</v>
      </c>
      <c r="D102" s="11" t="n">
        <v>0.02407610374039469</v>
      </c>
      <c r="E102" s="11" t="n">
        <v>0.02037464428525276</v>
      </c>
      <c r="F102" s="11" t="n">
        <v>0.02084382439592392</v>
      </c>
      <c r="G102" s="11" t="n">
        <v>0.01961125167587262</v>
      </c>
      <c r="H102" s="11" t="n">
        <v>0.01586685774361</v>
      </c>
      <c r="I102" s="2" t="inlineStr">
        <is>
          <t>Location quotient vs U.S.: 1.31x — more concentrated here.</t>
        </is>
      </c>
    </row>
    <row r="103">
      <c r="A103" s="5" t="inlineStr">
        <is>
          <t>Information</t>
        </is>
      </c>
      <c r="B103" s="11" t="n">
        <v>0.002672265699560985</v>
      </c>
      <c r="C103" s="11" t="n">
        <v>0.01090931440336806</v>
      </c>
      <c r="D103" s="11" t="n">
        <v>0.01293424486657018</v>
      </c>
      <c r="E103" s="11" t="n">
        <v>0.01705883149519169</v>
      </c>
      <c r="F103" s="11" t="n">
        <v>0.01906250470529385</v>
      </c>
      <c r="G103" s="11" t="n">
        <v>0.01736157873170788</v>
      </c>
      <c r="H103" s="11" t="n">
        <v>0.02037764401856688</v>
      </c>
      <c r="I103" s="2" t="inlineStr">
        <is>
          <t>Location quotient vs U.S.: 0.94x — less concentrated here.</t>
        </is>
      </c>
    </row>
    <row r="104">
      <c r="A104" s="5" t="inlineStr">
        <is>
          <t>Mgmt of Companies</t>
        </is>
      </c>
      <c r="B104" s="11" t="n">
        <v>0.0005726283641916397</v>
      </c>
      <c r="C104" s="11" t="n">
        <v>0.01676346762545712</v>
      </c>
      <c r="D104" s="11" t="n">
        <v>0.01896538151783606</v>
      </c>
      <c r="E104" s="11" t="n">
        <v>0.01917522542303697</v>
      </c>
      <c r="F104" s="11" t="n">
        <v>0.01809509628913341</v>
      </c>
      <c r="G104" s="11" t="n">
        <v>0.01520137056214125</v>
      </c>
      <c r="H104" s="11" t="n">
        <v>0.0166872404072684</v>
      </c>
      <c r="I104" s="2" t="inlineStr">
        <is>
          <t>Location quotient vs U.S.: 1.08x — more concentrated here.</t>
        </is>
      </c>
    </row>
    <row r="105">
      <c r="A105" s="5" t="inlineStr">
        <is>
          <t>Utilities</t>
        </is>
      </c>
      <c r="B105" s="11" t="n">
        <v>0.001145256728383279</v>
      </c>
      <c r="C105" s="11" t="n">
        <v>0.0007221658830398574</v>
      </c>
      <c r="D105" s="11" t="n">
        <v>0.003772488086082971</v>
      </c>
      <c r="E105" s="11" t="n">
        <v>0.002512975970997278</v>
      </c>
      <c r="F105" s="11" t="n">
        <v>0.006769767671410718</v>
      </c>
      <c r="G105" s="11" t="n">
        <v>0.006825111647899759</v>
      </c>
      <c r="H105" s="11" t="n">
        <v>0.0054838649167028</v>
      </c>
      <c r="I105" s="2" t="inlineStr">
        <is>
          <t>Location quotient vs U.S.: 1.23x — more concentrated here.</t>
        </is>
      </c>
    </row>
    <row r="106">
      <c r="A106" s="5" t="inlineStr">
        <is>
          <t>Agriculture/Forestry/Fishing</t>
        </is>
      </c>
      <c r="B106" s="11" t="n">
        <v>0</v>
      </c>
      <c r="C106" s="11" t="n">
        <v>0.0006299744937156203</v>
      </c>
      <c r="D106" s="11" t="n">
        <v>0.001725777053826078</v>
      </c>
      <c r="E106" s="11" t="n">
        <v>0.001151055198416767</v>
      </c>
      <c r="F106" s="11" t="n">
        <v>0.003239751660864168</v>
      </c>
      <c r="G106" s="11" t="n">
        <v>0.007704795534784445</v>
      </c>
      <c r="H106" s="11" t="n">
        <v>0.008224135502638645</v>
      </c>
      <c r="I106" s="2" t="inlineStr">
        <is>
          <t>Location quotient vs U.S.: 0.39x — less concentrated here.</t>
        </is>
      </c>
    </row>
    <row r="107">
      <c r="A107" s="5" t="inlineStr">
        <is>
          <t>Mining/Oil &amp; Gas</t>
        </is>
      </c>
      <c r="B107" s="11" t="n">
        <v>0</v>
      </c>
      <c r="C107" s="11" t="n">
        <v>0.0006760701883777388</v>
      </c>
      <c r="D107" s="11" t="n">
        <v>0.0003814875592668172</v>
      </c>
      <c r="E107" s="11" t="n">
        <v>0.0003985165897039564</v>
      </c>
      <c r="F107" s="11" t="n">
        <v>0.00144881225835702</v>
      </c>
      <c r="G107" s="11" t="n">
        <v>0.004149446289456433</v>
      </c>
      <c r="H107" s="11" t="n">
        <v>0.003822849608574414</v>
      </c>
      <c r="I107"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0" customWidth="1" min="6" max="6"/>
    <col width="10"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Sample Mesa Apt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By bed count — like for like</t>
        </is>
      </c>
      <c r="B31" s="4" t="n"/>
      <c r="C31" s="4" t="n"/>
      <c r="D31" s="4" t="n"/>
      <c r="E31" s="4" t="n"/>
    </row>
    <row r="32">
      <c r="A32" s="14" t="inlineStr">
        <is>
          <t>Beds</t>
        </is>
      </c>
      <c r="B32" s="14" t="inlineStr">
        <is>
          <t>Communities</t>
        </is>
      </c>
      <c r="C32" s="14" t="inlineStr">
        <is>
          <t>Plans</t>
        </is>
      </c>
      <c r="D32" s="14" t="inlineStr">
        <is>
          <t>Avg asking</t>
        </is>
      </c>
      <c r="E32" s="14" t="inlineStr">
        <is>
          <t>Avg net effective</t>
        </is>
      </c>
    </row>
    <row r="33">
      <c r="A33" s="5" t="inlineStr">
        <is>
          <t>1 bed</t>
        </is>
      </c>
      <c r="B33" s="7" t="n">
        <v>10</v>
      </c>
      <c r="C33" s="7" t="n">
        <v>10</v>
      </c>
      <c r="D33" s="7" t="n">
        <v>1118.3</v>
      </c>
      <c r="E33" s="7" t="n">
        <v>1068.7</v>
      </c>
    </row>
    <row r="34">
      <c r="A34" s="5" t="inlineStr">
        <is>
          <t>2 bed</t>
        </is>
      </c>
      <c r="B34" s="7" t="n">
        <v>6</v>
      </c>
      <c r="C34" s="7" t="n">
        <v>9</v>
      </c>
      <c r="D34" s="7" t="n">
        <v>1373.111111111111</v>
      </c>
      <c r="E34" s="7" t="n">
        <v>1281.222222222222</v>
      </c>
    </row>
    <row r="35"/>
    <row r="36">
      <c r="A36" s="4" t="inlineStr">
        <is>
          <t>Subject versus comp set — detailed tiers only</t>
        </is>
      </c>
      <c r="B36" s="4" t="n"/>
      <c r="C36" s="4" t="n"/>
      <c r="D36" s="4" t="n"/>
    </row>
    <row r="37">
      <c r="A37" s="5" t="inlineStr">
        <is>
          <t>Subject market rent</t>
        </is>
      </c>
      <c r="B37" s="7" t="n">
        <v>1344.6</v>
      </c>
      <c r="C37" s="6" t="inlineStr">
        <is>
          <t>Unit-weighted market rent for model, whole property.</t>
        </is>
      </c>
    </row>
    <row r="38">
      <c r="A38" s="5" t="inlineStr">
        <is>
          <t>Comp-set average asking</t>
        </is>
      </c>
      <c r="B38" s="7">
        <f>IFERROR(AVERAGE(H8:H14,H18:H29),"")</f>
        <v/>
      </c>
      <c r="C38" s="6" t="inlineStr">
        <is>
          <t>Over 10 communities in the detailed tiers (top 5 plus next 15) — never the whole radius.</t>
        </is>
      </c>
    </row>
    <row r="39">
      <c r="A39" s="5" t="inlineStr">
        <is>
          <t>Comp-set average net effective</t>
        </is>
      </c>
      <c r="B39" s="7">
        <f>IFERROR(AVERAGE(J8:J14,J18:J29),"")</f>
        <v/>
      </c>
    </row>
    <row r="40">
      <c r="A40" s="5" t="inlineStr">
        <is>
          <t>Comp set, mix-matched</t>
        </is>
      </c>
      <c r="B40" s="7" t="n">
        <v>1172.943495077356</v>
      </c>
      <c r="C40" s="6" t="inlineStr">
        <is>
          <t>Each bed count's comp net-effective weighted by the subject's own unit mix, so both sides describe the same product.</t>
        </is>
      </c>
    </row>
    <row r="41">
      <c r="A41" s="5" t="inlineStr">
        <is>
          <t>Subject rent, same bed counts</t>
        </is>
      </c>
      <c r="B41" s="7" t="n">
        <v>1314.301989343287</v>
      </c>
      <c r="C41" s="6" t="inlineStr">
        <is>
          <t>Restricted to the bed counts the comp set covers: [1, 2].</t>
        </is>
      </c>
    </row>
    <row r="42">
      <c r="A42" s="5" t="inlineStr">
        <is>
          <t>Mix coverage</t>
        </is>
      </c>
      <c r="B42" s="11" t="n">
        <v>0.9461077844311377</v>
      </c>
      <c r="C42" s="6" t="inlineStr">
        <is>
          <t>Share of the subject's units actually compared, by bed count and priced plan.</t>
        </is>
      </c>
    </row>
    <row r="43">
      <c r="A43" s="5" t="inlineStr">
        <is>
          <t>Subject vs comp set (mix-matched)</t>
        </is>
      </c>
      <c r="B43" s="11">
        <f>IFERROR(B41/B40-1,"")</f>
        <v/>
      </c>
      <c r="C43" s="6" t="inlineStr">
        <is>
          <t>Negative means the subject is underwritten BELOW the market — mark-to-market room rather than a stretch.</t>
        </is>
      </c>
    </row>
    <row r="44"/>
    <row r="45">
      <c r="A45" s="4" t="inlineStr">
        <is>
          <t>Two comp sets, selected identically except for the vintage test</t>
        </is>
      </c>
      <c r="B45" s="4" t="n"/>
      <c r="C45" s="4" t="n"/>
      <c r="D45" s="4" t="n"/>
      <c r="E45" s="4" t="n"/>
    </row>
    <row r="46">
      <c r="A46" s="6" t="inlineStr">
        <is>
          <t>Held fixed in both: candidate pool, product test, tracker comp exclusions, radius, closest-20 cap, per-community rent rules, mix weighting. Varied: the +/-10-year vintage test only.</t>
        </is>
      </c>
    </row>
    <row r="47">
      <c r="A47" s="14" t="inlineStr">
        <is>
          <t>Comp set</t>
        </is>
      </c>
      <c r="B47" s="14" t="inlineStr">
        <is>
          <t>Communities</t>
        </is>
      </c>
      <c r="C47" s="14" t="inlineStr">
        <is>
          <t>Vintages</t>
        </is>
      </c>
      <c r="D47" s="14" t="inlineStr">
        <is>
          <t>Comp net effective</t>
        </is>
      </c>
      <c r="E47" s="14" t="inlineStr">
        <is>
          <t>Subject reads</t>
        </is>
      </c>
    </row>
    <row r="48">
      <c r="A48" s="5" t="inlineStr">
        <is>
          <t>A — vintage test ON</t>
        </is>
      </c>
      <c r="B48" s="7" t="n">
        <v>10</v>
      </c>
      <c r="C48" s="5" t="inlineStr">
        <is>
          <t>1981–1987</t>
        </is>
      </c>
      <c r="D48" s="7" t="n">
        <v>1172.943495077356</v>
      </c>
      <c r="E48" s="11" t="n">
        <v>0.1205160307032596</v>
      </c>
    </row>
    <row r="49">
      <c r="A49" s="5" t="inlineStr">
        <is>
          <t>B — vintage test OFF</t>
        </is>
      </c>
      <c r="B49" s="7" t="n">
        <v>13</v>
      </c>
      <c r="C49" s="5" t="inlineStr">
        <is>
          <t>1981–2018</t>
        </is>
      </c>
      <c r="D49" s="7" t="n">
        <v>1217.446518987342</v>
      </c>
      <c r="E49" s="11" t="n">
        <v>0.07955624238550407</v>
      </c>
    </row>
    <row r="50">
      <c r="A50" s="18" t="inlineStr">
        <is>
          <t>Difference between the two sets</t>
        </is>
      </c>
      <c r="B50" s="19" t="n"/>
      <c r="C50" s="19" t="n"/>
      <c r="D50" s="20" t="n">
        <v>44.50302390998604</v>
      </c>
      <c r="E50" s="21" t="n">
        <v>0.04095978831775549</v>
      </c>
    </row>
    <row r="51"/>
    <row r="52">
      <c r="A52" s="5" t="inlineStr">
        <is>
          <t>In B but not A</t>
        </is>
      </c>
      <c r="B52" s="5" t="inlineStr">
        <is>
          <t>Lindsay Palms Apartments, The Premiere at Dana Park, Vista Grove</t>
        </is>
      </c>
    </row>
    <row r="53">
      <c r="A53" s="5" t="inlineStr">
        <is>
          <t>In A but not B</t>
        </is>
      </c>
      <c r="B53" s="5" t="inlineStr">
        <is>
          <t>—</t>
        </is>
      </c>
    </row>
    <row r="54">
      <c r="A54"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55"/>
    <row r="56">
      <c r="A56" s="4" t="inlineStr">
        <is>
          <t>Stated in the offering memorandum</t>
        </is>
      </c>
      <c r="B56" s="4" t="n"/>
      <c r="C56" s="4" t="n"/>
      <c r="D56" s="4" t="n"/>
      <c r="E56" s="4" t="n"/>
      <c r="F56" s="4" t="n"/>
      <c r="G56" s="4" t="n"/>
      <c r="H56" s="4" t="n"/>
      <c r="I56" s="4" t="n"/>
      <c r="J56" s="4" t="n"/>
    </row>
    <row r="57">
      <c r="A57" s="2" t="inlineStr">
        <is>
          <t>The memorandum's stated comparables are withheld: they would place the real asset.</t>
        </is>
      </c>
    </row>
    <row r="58">
      <c r="A58"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Sample Mesa Apt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 width="18" customWidth="1" min="5" max="5"/>
    <col width="22" customWidth="1" min="6" max="6"/>
    <col width="10" customWidth="1" min="7" max="7"/>
    <col width="10" customWidth="1" min="8" max="8"/>
    <col width="32" customWidth="1" min="9" max="9"/>
    <col width="13" customWidth="1" min="10" max="10"/>
    <col width="17" customWidth="1" min="11" max="11"/>
    <col width="41" customWidth="1" min="12" max="12"/>
  </cols>
  <sheetData>
    <row r="1">
      <c r="A1" s="1" t="inlineStr">
        <is>
          <t>Competing supply</t>
        </is>
      </c>
    </row>
    <row r="2">
      <c r="A2" s="2" t="inlineStr">
        <is>
          <t>Sample Mesa Apt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row r="23"/>
    <row r="24">
      <c r="A24" s="4" t="inlineStr">
        <is>
          <t>Projects within 3 miles</t>
        </is>
      </c>
      <c r="B24" s="4" t="n"/>
      <c r="C24" s="4" t="n"/>
      <c r="D24" s="4" t="n"/>
      <c r="E24" s="4" t="n"/>
      <c r="F24" s="4" t="n"/>
    </row>
    <row r="25">
      <c r="A25" s="5" t="inlineStr">
        <is>
          <t>One row per development, at the furthest stage the pipeline shows; a dash means the source did not state it.</t>
        </is>
      </c>
    </row>
    <row r="26">
      <c r="A26" s="14" t="inlineStr">
        <is>
          <t>Project</t>
        </is>
      </c>
      <c r="B26" s="14" t="inlineStr">
        <is>
          <t>Distance (mi)</t>
        </is>
      </c>
      <c r="C26" s="14" t="inlineStr">
        <is>
          <t>Stage</t>
        </is>
      </c>
      <c r="D26" s="14" t="inlineStr">
        <is>
          <t>Units</t>
        </is>
      </c>
      <c r="E26" s="14" t="inlineStr">
        <is>
          <t>Type</t>
        </is>
      </c>
      <c r="F26" s="14" t="inlineStr">
        <is>
          <t>Address</t>
        </is>
      </c>
      <c r="G26" s="14" t="inlineStr">
        <is>
          <t>City</t>
        </is>
      </c>
      <c r="H26" s="14" t="inlineStr">
        <is>
          <t>Acres</t>
        </is>
      </c>
      <c r="I26" s="14" t="inlineStr">
        <is>
          <t>Developer</t>
        </is>
      </c>
      <c r="J26" s="14" t="inlineStr">
        <is>
          <t>First filed</t>
        </is>
      </c>
      <c r="K26" s="14" t="inlineStr">
        <is>
          <t>Latest activity</t>
        </is>
      </c>
      <c r="L26" s="14" t="inlineStr">
        <is>
          <t>Source layers</t>
        </is>
      </c>
    </row>
    <row r="27">
      <c r="A27" s="5" t="inlineStr">
        <is>
          <t>Reed Park Residences</t>
        </is>
      </c>
      <c r="B27" s="10" t="n">
        <v>0.95</v>
      </c>
      <c r="C27" s="5" t="inlineStr">
        <is>
          <t>Entitlement</t>
        </is>
      </c>
      <c r="D27" s="7" t="n">
        <v>72</v>
      </c>
      <c r="E27" s="5" t="inlineStr">
        <is>
          <t>multifamily</t>
        </is>
      </c>
      <c r="F27" s="5" t="inlineStr">
        <is>
          <t>—</t>
        </is>
      </c>
      <c r="G27" s="5" t="inlineStr">
        <is>
          <t>—</t>
        </is>
      </c>
      <c r="H27" s="10" t="n">
        <v>3.22</v>
      </c>
      <c r="I27" s="5" t="inlineStr">
        <is>
          <t>—</t>
        </is>
      </c>
      <c r="J27" s="5" t="inlineStr">
        <is>
          <t>2026-07-03</t>
        </is>
      </c>
      <c r="K27" s="5" t="inlineStr">
        <is>
          <t>2026-07-03</t>
        </is>
      </c>
      <c r="L27" s="5" t="inlineStr">
        <is>
          <t>Entitlement</t>
        </is>
      </c>
    </row>
    <row r="28">
      <c r="A28" s="5" t="inlineStr">
        <is>
          <t>539 S WILLIAMS</t>
        </is>
      </c>
      <c r="B28" s="10" t="n">
        <v>0.97</v>
      </c>
      <c r="C28" s="5" t="inlineStr">
        <is>
          <t>Permitted</t>
        </is>
      </c>
      <c r="D28" s="7" t="n">
        <v>36</v>
      </c>
      <c r="E28" s="5" t="inlineStr">
        <is>
          <t>apartment_rental</t>
        </is>
      </c>
      <c r="F28" s="5" t="inlineStr">
        <is>
          <t>539 S WILLIAMS</t>
        </is>
      </c>
      <c r="G28" s="5" t="inlineStr">
        <is>
          <t>Mesa</t>
        </is>
      </c>
      <c r="H28" s="10" t="n">
        <v>1.03</v>
      </c>
      <c r="I28" s="5" t="inlineStr">
        <is>
          <t>—</t>
        </is>
      </c>
      <c r="J28" s="5" t="inlineStr">
        <is>
          <t>2023-10-30</t>
        </is>
      </c>
      <c r="K28" s="5" t="inlineStr">
        <is>
          <t>2026-08-26</t>
        </is>
      </c>
      <c r="L28" s="5" t="inlineStr">
        <is>
          <t>County permits</t>
        </is>
      </c>
    </row>
    <row r="29">
      <c r="A29" s="5" t="inlineStr">
        <is>
          <t>Flats At Reed Park</t>
        </is>
      </c>
      <c r="B29" s="10" t="n">
        <v>0.98</v>
      </c>
      <c r="C29" s="5" t="inlineStr">
        <is>
          <t>Entitlement</t>
        </is>
      </c>
      <c r="D29" s="5" t="inlineStr">
        <is>
          <t>—</t>
        </is>
      </c>
      <c r="E29" s="5" t="inlineStr">
        <is>
          <t>multifamily</t>
        </is>
      </c>
      <c r="F29" s="5" t="inlineStr">
        <is>
          <t>—</t>
        </is>
      </c>
      <c r="G29" s="5" t="inlineStr">
        <is>
          <t>MESA</t>
        </is>
      </c>
      <c r="H29" s="5" t="inlineStr">
        <is>
          <t>—</t>
        </is>
      </c>
      <c r="I29" s="5" t="inlineStr">
        <is>
          <t>—</t>
        </is>
      </c>
      <c r="J29" s="5" t="inlineStr">
        <is>
          <t>2025-03-06</t>
        </is>
      </c>
      <c r="K29" s="5" t="inlineStr">
        <is>
          <t>—</t>
        </is>
      </c>
      <c r="L29" s="5" t="inlineStr">
        <is>
          <t>NOI radar (Arizona DEQ)</t>
        </is>
      </c>
    </row>
    <row r="30">
      <c r="A30" s="5" t="inlineStr">
        <is>
          <t>2102 E BROADWAY RD</t>
        </is>
      </c>
      <c r="B30" s="10" t="n">
        <v>1.03</v>
      </c>
      <c r="C30" s="5" t="inlineStr">
        <is>
          <t>Permitted</t>
        </is>
      </c>
      <c r="D30" s="5" t="inlineStr">
        <is>
          <t>—</t>
        </is>
      </c>
      <c r="E30" s="5" t="inlineStr">
        <is>
          <t>apartment_rental</t>
        </is>
      </c>
      <c r="F30" s="5" t="inlineStr">
        <is>
          <t>2102 E BROADWAY RD</t>
        </is>
      </c>
      <c r="G30" s="5" t="inlineStr">
        <is>
          <t>Mesa</t>
        </is>
      </c>
      <c r="H30" s="5" t="inlineStr">
        <is>
          <t>—</t>
        </is>
      </c>
      <c r="I30" s="5" t="inlineStr">
        <is>
          <t>—</t>
        </is>
      </c>
      <c r="J30" s="5" t="inlineStr">
        <is>
          <t>2026-03-02</t>
        </is>
      </c>
      <c r="K30" s="5" t="inlineStr">
        <is>
          <t>2026-04-02</t>
        </is>
      </c>
      <c r="L30" s="5" t="inlineStr">
        <is>
          <t>County permits</t>
        </is>
      </c>
    </row>
    <row r="31">
      <c r="A31" s="5" t="inlineStr">
        <is>
          <t>The Groves Apartments</t>
        </is>
      </c>
      <c r="B31" s="10" t="n">
        <v>1.04</v>
      </c>
      <c r="C31" s="5" t="inlineStr">
        <is>
          <t>Permitted</t>
        </is>
      </c>
      <c r="D31" s="7" t="n">
        <v>37</v>
      </c>
      <c r="E31" s="5" t="inlineStr">
        <is>
          <t>apartment_rental</t>
        </is>
      </c>
      <c r="F31" s="5" t="inlineStr">
        <is>
          <t>2030 E BROADWAY RD</t>
        </is>
      </c>
      <c r="G31" s="5" t="inlineStr">
        <is>
          <t>Mesa</t>
        </is>
      </c>
      <c r="H31" s="5" t="inlineStr">
        <is>
          <t>—</t>
        </is>
      </c>
      <c r="I31" s="5" t="inlineStr">
        <is>
          <t>—</t>
        </is>
      </c>
      <c r="J31" s="5" t="inlineStr">
        <is>
          <t>2026-05-05</t>
        </is>
      </c>
      <c r="K31" s="5" t="inlineStr">
        <is>
          <t>2026-05-11</t>
        </is>
      </c>
      <c r="L31" s="5" t="inlineStr">
        <is>
          <t>County permits</t>
        </is>
      </c>
    </row>
    <row r="32">
      <c r="A32" s="5" t="inlineStr">
        <is>
          <t>3 Four 5 Villas</t>
        </is>
      </c>
      <c r="B32" s="10" t="n">
        <v>1.11</v>
      </c>
      <c r="C32" s="5" t="inlineStr">
        <is>
          <t>Entitlement</t>
        </is>
      </c>
      <c r="D32" s="7" t="n">
        <v>15</v>
      </c>
      <c r="E32" s="5" t="inlineStr">
        <is>
          <t>multifamily</t>
        </is>
      </c>
      <c r="F32" s="5" t="inlineStr">
        <is>
          <t>—</t>
        </is>
      </c>
      <c r="G32" s="5" t="inlineStr">
        <is>
          <t>—</t>
        </is>
      </c>
      <c r="H32" s="10" t="n">
        <v>1.07</v>
      </c>
      <c r="I32" s="5" t="inlineStr">
        <is>
          <t>—</t>
        </is>
      </c>
      <c r="J32" s="5" t="inlineStr">
        <is>
          <t>2026-07-03</t>
        </is>
      </c>
      <c r="K32" s="5" t="inlineStr">
        <is>
          <t>2026-07-03</t>
        </is>
      </c>
      <c r="L32" s="5" t="inlineStr">
        <is>
          <t>Entitlement</t>
        </is>
      </c>
    </row>
    <row r="33">
      <c r="A33" s="5" t="inlineStr">
        <is>
          <t>Countryside Manor</t>
        </is>
      </c>
      <c r="B33" s="10" t="n">
        <v>1.29</v>
      </c>
      <c r="C33" s="5" t="inlineStr">
        <is>
          <t>Entitlement</t>
        </is>
      </c>
      <c r="D33" s="7" t="n">
        <v>40</v>
      </c>
      <c r="E33" s="5" t="inlineStr">
        <is>
          <t>multifamily</t>
        </is>
      </c>
      <c r="F33" s="5" t="inlineStr">
        <is>
          <t>—</t>
        </is>
      </c>
      <c r="G33" s="5" t="inlineStr">
        <is>
          <t>—</t>
        </is>
      </c>
      <c r="H33" s="10" t="n">
        <v>2.27</v>
      </c>
      <c r="I33" s="5" t="inlineStr">
        <is>
          <t>—</t>
        </is>
      </c>
      <c r="J33" s="5" t="inlineStr">
        <is>
          <t>2026-07-03</t>
        </is>
      </c>
      <c r="K33" s="5" t="inlineStr">
        <is>
          <t>2026-07-03</t>
        </is>
      </c>
      <c r="L33" s="5" t="inlineStr">
        <is>
          <t>Entitlement</t>
        </is>
      </c>
    </row>
    <row r="34">
      <c r="A34" s="5" t="inlineStr">
        <is>
          <t>La Jolla Villas</t>
        </is>
      </c>
      <c r="B34" s="10" t="n">
        <v>1.59</v>
      </c>
      <c r="C34" s="5" t="inlineStr">
        <is>
          <t>Entitlement</t>
        </is>
      </c>
      <c r="D34" s="7" t="n">
        <v>15</v>
      </c>
      <c r="E34" s="5" t="inlineStr">
        <is>
          <t>multifamily</t>
        </is>
      </c>
      <c r="F34" s="5" t="inlineStr">
        <is>
          <t>—</t>
        </is>
      </c>
      <c r="G34" s="5" t="inlineStr">
        <is>
          <t>—</t>
        </is>
      </c>
      <c r="H34" s="10" t="n">
        <v>1.07</v>
      </c>
      <c r="I34" s="5" t="inlineStr">
        <is>
          <t>—</t>
        </is>
      </c>
      <c r="J34" s="5" t="inlineStr">
        <is>
          <t>2026-07-03</t>
        </is>
      </c>
      <c r="K34" s="5" t="inlineStr">
        <is>
          <t>2026-07-03</t>
        </is>
      </c>
      <c r="L34" s="5" t="inlineStr">
        <is>
          <t>Entitlement</t>
        </is>
      </c>
    </row>
    <row r="35">
      <c r="A35" s="5" t="inlineStr">
        <is>
          <t>1424 E DANA AVE</t>
        </is>
      </c>
      <c r="B35" s="10" t="n">
        <v>1.61</v>
      </c>
      <c r="C35" s="5" t="inlineStr">
        <is>
          <t>Permitted</t>
        </is>
      </c>
      <c r="D35" s="7" t="n">
        <v>4</v>
      </c>
      <c r="E35" s="5" t="inlineStr">
        <is>
          <t>apartment_rental</t>
        </is>
      </c>
      <c r="F35" s="5" t="inlineStr">
        <is>
          <t>1424 E DANA AVE</t>
        </is>
      </c>
      <c r="G35" s="5" t="inlineStr">
        <is>
          <t>Mesa</t>
        </is>
      </c>
      <c r="H35" s="10" t="n">
        <v>0.076</v>
      </c>
      <c r="I35" s="5" t="inlineStr">
        <is>
          <t>—</t>
        </is>
      </c>
      <c r="J35" s="5" t="inlineStr">
        <is>
          <t>2026-02-11</t>
        </is>
      </c>
      <c r="K35" s="5" t="inlineStr">
        <is>
          <t>2026-05-21</t>
        </is>
      </c>
      <c r="L35" s="5" t="inlineStr">
        <is>
          <t>County permits</t>
        </is>
      </c>
    </row>
    <row r="36">
      <c r="A36" s="5" t="inlineStr">
        <is>
          <t>Dana Park Village Square</t>
        </is>
      </c>
      <c r="B36" s="10" t="n">
        <v>1.65</v>
      </c>
      <c r="C36" s="5" t="inlineStr">
        <is>
          <t>Entitlement</t>
        </is>
      </c>
      <c r="D36" s="7" t="n">
        <v>36</v>
      </c>
      <c r="E36" s="5" t="inlineStr">
        <is>
          <t>multifamily</t>
        </is>
      </c>
      <c r="F36" s="5" t="inlineStr">
        <is>
          <t>—</t>
        </is>
      </c>
      <c r="G36" s="5" t="inlineStr">
        <is>
          <t>—</t>
        </is>
      </c>
      <c r="H36" s="10" t="n">
        <v>4.25</v>
      </c>
      <c r="I36" s="5" t="inlineStr">
        <is>
          <t>—</t>
        </is>
      </c>
      <c r="J36" s="5" t="inlineStr">
        <is>
          <t>2026-07-03</t>
        </is>
      </c>
      <c r="K36" s="5" t="inlineStr">
        <is>
          <t>2026-07-03</t>
        </is>
      </c>
      <c r="L36" s="5" t="inlineStr">
        <is>
          <t>Entitlement</t>
        </is>
      </c>
    </row>
    <row r="37">
      <c r="A37" s="5" t="inlineStr">
        <is>
          <t>214 N GILBERT RD 111</t>
        </is>
      </c>
      <c r="B37" s="10" t="n">
        <v>1.79</v>
      </c>
      <c r="C37" s="5" t="inlineStr">
        <is>
          <t>Permitted</t>
        </is>
      </c>
      <c r="D37" s="5" t="inlineStr">
        <is>
          <t>—</t>
        </is>
      </c>
      <c r="E37" s="5" t="inlineStr">
        <is>
          <t>apartment_rental</t>
        </is>
      </c>
      <c r="F37" s="5" t="inlineStr">
        <is>
          <t>214 N GILBERT RD 111</t>
        </is>
      </c>
      <c r="G37" s="5" t="inlineStr">
        <is>
          <t>Mesa</t>
        </is>
      </c>
      <c r="H37" s="5" t="inlineStr">
        <is>
          <t>—</t>
        </is>
      </c>
      <c r="I37" s="5" t="inlineStr">
        <is>
          <t>—</t>
        </is>
      </c>
      <c r="J37" s="5" t="inlineStr">
        <is>
          <t>2023-02-23</t>
        </is>
      </c>
      <c r="K37" s="5" t="inlineStr">
        <is>
          <t>2023-03-01</t>
        </is>
      </c>
      <c r="L37" s="5" t="inlineStr">
        <is>
          <t>County permits</t>
        </is>
      </c>
    </row>
    <row r="38">
      <c r="A38" s="5" t="inlineStr">
        <is>
          <t>Case ID: Z08-017 - 110 S Allen Rd</t>
        </is>
      </c>
      <c r="B38" s="10" t="n">
        <v>1.79</v>
      </c>
      <c r="C38" s="5" t="inlineStr">
        <is>
          <t>Entitlement</t>
        </is>
      </c>
      <c r="D38" s="7" t="n">
        <v>9</v>
      </c>
      <c r="E38" s="5" t="inlineStr">
        <is>
          <t>multifamily</t>
        </is>
      </c>
      <c r="F38" s="5" t="inlineStr">
        <is>
          <t>—</t>
        </is>
      </c>
      <c r="G38" s="5" t="inlineStr">
        <is>
          <t>—</t>
        </is>
      </c>
      <c r="H38" s="10" t="n">
        <v>1.11</v>
      </c>
      <c r="I38" s="5" t="inlineStr">
        <is>
          <t>—</t>
        </is>
      </c>
      <c r="J38" s="5" t="inlineStr">
        <is>
          <t>2026-07-03</t>
        </is>
      </c>
      <c r="K38" s="5" t="inlineStr">
        <is>
          <t>2026-07-03</t>
        </is>
      </c>
      <c r="L38" s="5" t="inlineStr">
        <is>
          <t>Entitlement</t>
        </is>
      </c>
    </row>
    <row r="39">
      <c r="A39" s="5" t="inlineStr">
        <is>
          <t>Tangerine</t>
        </is>
      </c>
      <c r="B39" s="10" t="n">
        <v>2.09</v>
      </c>
      <c r="C39" s="5" t="inlineStr">
        <is>
          <t>Entitlement</t>
        </is>
      </c>
      <c r="D39" s="7" t="n">
        <v>29</v>
      </c>
      <c r="E39" s="5" t="inlineStr">
        <is>
          <t>multifamily</t>
        </is>
      </c>
      <c r="F39" s="5" t="inlineStr">
        <is>
          <t>—</t>
        </is>
      </c>
      <c r="G39" s="5" t="inlineStr">
        <is>
          <t>—</t>
        </is>
      </c>
      <c r="H39" s="10" t="n">
        <v>2.06</v>
      </c>
      <c r="I39" s="5" t="inlineStr">
        <is>
          <t>—</t>
        </is>
      </c>
      <c r="J39" s="5" t="inlineStr">
        <is>
          <t>2026-07-03</t>
        </is>
      </c>
      <c r="K39" s="5" t="inlineStr">
        <is>
          <t>2026-07-03</t>
        </is>
      </c>
      <c r="L39" s="5" t="inlineStr">
        <is>
          <t>Entitlement</t>
        </is>
      </c>
    </row>
    <row r="40">
      <c r="A40" s="5" t="inlineStr">
        <is>
          <t>3020 E MAIN ST</t>
        </is>
      </c>
      <c r="B40" s="10" t="n">
        <v>2.12</v>
      </c>
      <c r="C40" s="5" t="inlineStr">
        <is>
          <t>Permitted</t>
        </is>
      </c>
      <c r="D40" s="5" t="inlineStr">
        <is>
          <t>—</t>
        </is>
      </c>
      <c r="E40" s="5" t="inlineStr">
        <is>
          <t>apartment_rental</t>
        </is>
      </c>
      <c r="F40" s="5" t="inlineStr">
        <is>
          <t>3020 E MAIN ST</t>
        </is>
      </c>
      <c r="G40" s="5" t="inlineStr">
        <is>
          <t>Mesa</t>
        </is>
      </c>
      <c r="H40" s="5" t="inlineStr">
        <is>
          <t>—</t>
        </is>
      </c>
      <c r="I40" s="5" t="inlineStr">
        <is>
          <t>—</t>
        </is>
      </c>
      <c r="J40" s="5" t="inlineStr">
        <is>
          <t>2023-07-27</t>
        </is>
      </c>
      <c r="K40" s="5" t="inlineStr">
        <is>
          <t>2023-08-03</t>
        </is>
      </c>
      <c r="L40" s="5" t="inlineStr">
        <is>
          <t>County permits</t>
        </is>
      </c>
    </row>
    <row r="41">
      <c r="A41" s="5" t="inlineStr">
        <is>
          <t>La Mesa Village Apartments</t>
        </is>
      </c>
      <c r="B41" s="10" t="n">
        <v>2.22</v>
      </c>
      <c r="C41" s="5" t="inlineStr">
        <is>
          <t>Entitlement</t>
        </is>
      </c>
      <c r="D41" s="5" t="inlineStr">
        <is>
          <t>—</t>
        </is>
      </c>
      <c r="E41" s="5" t="inlineStr">
        <is>
          <t>multifamily</t>
        </is>
      </c>
      <c r="F41" s="5" t="inlineStr">
        <is>
          <t>—</t>
        </is>
      </c>
      <c r="G41" s="5" t="inlineStr">
        <is>
          <t>MESA</t>
        </is>
      </c>
      <c r="H41" s="5" t="inlineStr">
        <is>
          <t>—</t>
        </is>
      </c>
      <c r="I41" s="5" t="inlineStr">
        <is>
          <t>—</t>
        </is>
      </c>
      <c r="J41" s="5" t="inlineStr">
        <is>
          <t>2024-10-29</t>
        </is>
      </c>
      <c r="K41" s="5" t="inlineStr">
        <is>
          <t>—</t>
        </is>
      </c>
      <c r="L41" s="5" t="inlineStr">
        <is>
          <t>NOI radar (Arizona DEQ)</t>
        </is>
      </c>
    </row>
    <row r="42">
      <c r="A42" s="5" t="inlineStr">
        <is>
          <t>505 S LESUEUR C</t>
        </is>
      </c>
      <c r="B42" s="10" t="n">
        <v>2.24</v>
      </c>
      <c r="C42" s="5" t="inlineStr">
        <is>
          <t>Permitted</t>
        </is>
      </c>
      <c r="D42" s="5" t="inlineStr">
        <is>
          <t>—</t>
        </is>
      </c>
      <c r="E42" s="5" t="inlineStr">
        <is>
          <t>apartment_rental</t>
        </is>
      </c>
      <c r="F42" s="5" t="inlineStr">
        <is>
          <t>505 S LESUEUR C</t>
        </is>
      </c>
      <c r="G42" s="5" t="inlineStr">
        <is>
          <t>Mesa</t>
        </is>
      </c>
      <c r="H42" s="5" t="inlineStr">
        <is>
          <t>—</t>
        </is>
      </c>
      <c r="I42" s="5" t="inlineStr">
        <is>
          <t>—</t>
        </is>
      </c>
      <c r="J42" s="5" t="inlineStr">
        <is>
          <t>2020-07-01</t>
        </is>
      </c>
      <c r="K42" s="5" t="inlineStr">
        <is>
          <t>2020-07-23</t>
        </is>
      </c>
      <c r="L42" s="5" t="inlineStr">
        <is>
          <t>County permits</t>
        </is>
      </c>
    </row>
    <row r="43">
      <c r="A43" s="5" t="inlineStr">
        <is>
          <t>Pioneer Place</t>
        </is>
      </c>
      <c r="B43" s="10" t="n">
        <v>2.25</v>
      </c>
      <c r="C43" s="5" t="inlineStr">
        <is>
          <t>Entitlement</t>
        </is>
      </c>
      <c r="D43" s="7" t="n">
        <v>9</v>
      </c>
      <c r="E43" s="5" t="inlineStr">
        <is>
          <t>mixed</t>
        </is>
      </c>
      <c r="F43" s="5" t="inlineStr">
        <is>
          <t>—</t>
        </is>
      </c>
      <c r="G43" s="5" t="inlineStr">
        <is>
          <t>—</t>
        </is>
      </c>
      <c r="H43" s="10" t="n">
        <v>0.83</v>
      </c>
      <c r="I43" s="5" t="inlineStr">
        <is>
          <t>—</t>
        </is>
      </c>
      <c r="J43" s="5" t="inlineStr">
        <is>
          <t>2026-07-03</t>
        </is>
      </c>
      <c r="K43" s="5" t="inlineStr">
        <is>
          <t>2026-07-03</t>
        </is>
      </c>
      <c r="L43" s="5" t="inlineStr">
        <is>
          <t>Entitlement</t>
        </is>
      </c>
    </row>
    <row r="44">
      <c r="A44" s="5" t="inlineStr">
        <is>
          <t>PS16-006 A New Leaf Apartment Bldg</t>
        </is>
      </c>
      <c r="B44" s="10" t="n">
        <v>2.33</v>
      </c>
      <c r="C44" s="5" t="inlineStr">
        <is>
          <t>Entitlement</t>
        </is>
      </c>
      <c r="D44" s="7" t="n">
        <v>40</v>
      </c>
      <c r="E44" s="5" t="inlineStr">
        <is>
          <t>multifamily</t>
        </is>
      </c>
      <c r="F44" s="5" t="inlineStr">
        <is>
          <t>—</t>
        </is>
      </c>
      <c r="G44" s="5" t="inlineStr">
        <is>
          <t>—</t>
        </is>
      </c>
      <c r="H44" s="10" t="n">
        <v>1.74</v>
      </c>
      <c r="I44" s="5" t="inlineStr">
        <is>
          <t>—</t>
        </is>
      </c>
      <c r="J44" s="5" t="inlineStr">
        <is>
          <t>2026-07-03</t>
        </is>
      </c>
      <c r="K44" s="5" t="inlineStr">
        <is>
          <t>2026-07-03</t>
        </is>
      </c>
      <c r="L44" s="5" t="inlineStr">
        <is>
          <t>Entitlement</t>
        </is>
      </c>
    </row>
    <row r="45">
      <c r="A45" s="5" t="inlineStr">
        <is>
          <t>3426 E UNIVERSITY DR</t>
        </is>
      </c>
      <c r="B45" s="10" t="n">
        <v>2.55</v>
      </c>
      <c r="C45" s="5" t="inlineStr">
        <is>
          <t>Permitted</t>
        </is>
      </c>
      <c r="D45" s="7" t="n">
        <v>36</v>
      </c>
      <c r="E45" s="5" t="inlineStr">
        <is>
          <t>apartment_rental</t>
        </is>
      </c>
      <c r="F45" s="5" t="inlineStr">
        <is>
          <t>3426 E UNIVERSITY DR</t>
        </is>
      </c>
      <c r="G45" s="5" t="inlineStr">
        <is>
          <t>Mesa</t>
        </is>
      </c>
      <c r="H45" s="5" t="inlineStr">
        <is>
          <t>—</t>
        </is>
      </c>
      <c r="I45" s="5" t="inlineStr">
        <is>
          <t>—</t>
        </is>
      </c>
      <c r="J45" s="5" t="inlineStr">
        <is>
          <t>2021-02-15</t>
        </is>
      </c>
      <c r="K45" s="5" t="inlineStr">
        <is>
          <t>2021-09-27</t>
        </is>
      </c>
      <c r="L45" s="5" t="inlineStr">
        <is>
          <t>County permits</t>
        </is>
      </c>
    </row>
    <row r="46">
      <c r="A46" s="5" t="inlineStr">
        <is>
          <t>455 E MAIN ST</t>
        </is>
      </c>
      <c r="B46" s="10" t="n">
        <v>2.57</v>
      </c>
      <c r="C46" s="5" t="inlineStr">
        <is>
          <t>Permitted</t>
        </is>
      </c>
      <c r="D46" s="5" t="inlineStr">
        <is>
          <t>—</t>
        </is>
      </c>
      <c r="E46" s="5" t="inlineStr">
        <is>
          <t>apartment_rental</t>
        </is>
      </c>
      <c r="F46" s="5" t="inlineStr">
        <is>
          <t>455 E MAIN ST</t>
        </is>
      </c>
      <c r="G46" s="5" t="inlineStr">
        <is>
          <t>Mesa</t>
        </is>
      </c>
      <c r="H46" s="5" t="inlineStr">
        <is>
          <t>—</t>
        </is>
      </c>
      <c r="I46" s="5" t="inlineStr">
        <is>
          <t>—</t>
        </is>
      </c>
      <c r="J46" s="5" t="inlineStr">
        <is>
          <t>2019-03-07</t>
        </is>
      </c>
      <c r="K46" s="5" t="inlineStr">
        <is>
          <t>2020-12-08</t>
        </is>
      </c>
      <c r="L46" s="5" t="inlineStr">
        <is>
          <t>County permits</t>
        </is>
      </c>
    </row>
    <row r="47">
      <c r="A47" s="5" t="inlineStr">
        <is>
          <t>Van Damme Residence</t>
        </is>
      </c>
      <c r="B47" s="10" t="n">
        <v>2.58</v>
      </c>
      <c r="C47" s="5" t="inlineStr">
        <is>
          <t>Entitlement</t>
        </is>
      </c>
      <c r="D47" s="7" t="n">
        <v>2</v>
      </c>
      <c r="E47" s="5" t="inlineStr">
        <is>
          <t>multifamily</t>
        </is>
      </c>
      <c r="F47" s="5" t="inlineStr">
        <is>
          <t>—</t>
        </is>
      </c>
      <c r="G47" s="5" t="inlineStr">
        <is>
          <t>—</t>
        </is>
      </c>
      <c r="H47" s="10" t="n">
        <v>0.16</v>
      </c>
      <c r="I47" s="5" t="inlineStr">
        <is>
          <t>—</t>
        </is>
      </c>
      <c r="J47" s="5" t="inlineStr">
        <is>
          <t>2026-07-03</t>
        </is>
      </c>
      <c r="K47" s="5" t="inlineStr">
        <is>
          <t>2026-07-03</t>
        </is>
      </c>
      <c r="L47" s="5" t="inlineStr">
        <is>
          <t>Entitlement</t>
        </is>
      </c>
    </row>
    <row r="48">
      <c r="A48" s="5" t="inlineStr">
        <is>
          <t>LEGACY SQUARE</t>
        </is>
      </c>
      <c r="B48" s="10" t="n">
        <v>2.6</v>
      </c>
      <c r="C48" s="5" t="inlineStr">
        <is>
          <t>Permitted</t>
        </is>
      </c>
      <c r="D48" s="7" t="n">
        <v>110</v>
      </c>
      <c r="E48" s="5" t="inlineStr">
        <is>
          <t>multifamily</t>
        </is>
      </c>
      <c r="F48" s="5" t="inlineStr">
        <is>
          <t>140 S POMEROY</t>
        </is>
      </c>
      <c r="G48" s="5" t="inlineStr">
        <is>
          <t>MESA</t>
        </is>
      </c>
      <c r="H48" s="5" t="inlineStr">
        <is>
          <t>—</t>
        </is>
      </c>
      <c r="I48" s="5" t="inlineStr">
        <is>
          <t>Willow Bridge Property Company</t>
        </is>
      </c>
      <c r="J48" s="5" t="inlineStr">
        <is>
          <t>2025-02-06</t>
        </is>
      </c>
      <c r="K48" s="5" t="inlineStr">
        <is>
          <t>2025-07-03</t>
        </is>
      </c>
      <c r="L48" s="5" t="inlineStr">
        <is>
          <t>County permits, NOI radar (Arizona DEQ)</t>
        </is>
      </c>
    </row>
    <row r="49">
      <c r="A49" s="5" t="inlineStr">
        <is>
          <t>Cadillac Aparments</t>
        </is>
      </c>
      <c r="B49" s="10" t="n">
        <v>2.64</v>
      </c>
      <c r="C49" s="5" t="inlineStr">
        <is>
          <t>Entitlement</t>
        </is>
      </c>
      <c r="D49" s="7" t="n">
        <v>7</v>
      </c>
      <c r="E49" s="5" t="inlineStr">
        <is>
          <t>multifamily</t>
        </is>
      </c>
      <c r="F49" s="5" t="inlineStr">
        <is>
          <t>—</t>
        </is>
      </c>
      <c r="G49" s="5" t="inlineStr">
        <is>
          <t>—</t>
        </is>
      </c>
      <c r="H49" s="10" t="n">
        <v>0.85</v>
      </c>
      <c r="I49" s="5" t="inlineStr">
        <is>
          <t>—</t>
        </is>
      </c>
      <c r="J49" s="5" t="inlineStr">
        <is>
          <t>2026-07-03</t>
        </is>
      </c>
      <c r="K49" s="5" t="inlineStr">
        <is>
          <t>2026-07-03</t>
        </is>
      </c>
      <c r="L49" s="5" t="inlineStr">
        <is>
          <t>Entitlement</t>
        </is>
      </c>
    </row>
    <row r="50">
      <c r="A50" s="5" t="inlineStr">
        <is>
          <t>Clare House Social</t>
        </is>
      </c>
      <c r="B50" s="10" t="n">
        <v>2.65</v>
      </c>
      <c r="C50" s="5" t="inlineStr">
        <is>
          <t>Entitlement</t>
        </is>
      </c>
      <c r="D50" s="5" t="inlineStr">
        <is>
          <t>—</t>
        </is>
      </c>
      <c r="E50" s="5" t="inlineStr">
        <is>
          <t>mixed</t>
        </is>
      </c>
      <c r="F50" s="5" t="inlineStr">
        <is>
          <t>—</t>
        </is>
      </c>
      <c r="G50" s="5" t="inlineStr">
        <is>
          <t>—</t>
        </is>
      </c>
      <c r="H50" s="5" t="inlineStr">
        <is>
          <t>—</t>
        </is>
      </c>
      <c r="I50" s="5" t="inlineStr">
        <is>
          <t>—</t>
        </is>
      </c>
      <c r="J50" s="5" t="inlineStr">
        <is>
          <t>2026-07-03</t>
        </is>
      </c>
      <c r="K50" s="5" t="inlineStr">
        <is>
          <t>2026-07-03</t>
        </is>
      </c>
      <c r="L50" s="5" t="inlineStr">
        <is>
          <t>Entitlement</t>
        </is>
      </c>
    </row>
    <row r="51">
      <c r="A51" s="5" t="inlineStr">
        <is>
          <t>The Lumberyard</t>
        </is>
      </c>
      <c r="B51" s="10" t="n">
        <v>2.71</v>
      </c>
      <c r="C51" s="5" t="inlineStr">
        <is>
          <t>Entitlement</t>
        </is>
      </c>
      <c r="D51" s="5" t="inlineStr">
        <is>
          <t>—</t>
        </is>
      </c>
      <c r="E51" s="5" t="inlineStr">
        <is>
          <t>multifamily</t>
        </is>
      </c>
      <c r="F51" s="5" t="inlineStr">
        <is>
          <t>—</t>
        </is>
      </c>
      <c r="G51" s="5" t="inlineStr">
        <is>
          <t>—</t>
        </is>
      </c>
      <c r="H51" s="5" t="inlineStr">
        <is>
          <t>—</t>
        </is>
      </c>
      <c r="I51" s="5" t="inlineStr">
        <is>
          <t>—</t>
        </is>
      </c>
      <c r="J51" s="5" t="inlineStr">
        <is>
          <t>2025-05-15</t>
        </is>
      </c>
      <c r="K51" s="5" t="inlineStr">
        <is>
          <t>2025-05-15</t>
        </is>
      </c>
      <c r="L51" s="5" t="inlineStr">
        <is>
          <t>Entitlement</t>
        </is>
      </c>
    </row>
    <row r="52">
      <c r="A52" s="5" t="inlineStr">
        <is>
          <t>The Brundrett Building</t>
        </is>
      </c>
      <c r="B52" s="10" t="n">
        <v>2.72</v>
      </c>
      <c r="C52" s="5" t="inlineStr">
        <is>
          <t>Entitlement</t>
        </is>
      </c>
      <c r="D52" s="5" t="inlineStr">
        <is>
          <t>—</t>
        </is>
      </c>
      <c r="E52" s="5" t="inlineStr">
        <is>
          <t>mixed</t>
        </is>
      </c>
      <c r="F52" s="5" t="inlineStr">
        <is>
          <t>—</t>
        </is>
      </c>
      <c r="G52" s="5" t="inlineStr">
        <is>
          <t>—</t>
        </is>
      </c>
      <c r="H52" s="5" t="inlineStr">
        <is>
          <t>—</t>
        </is>
      </c>
      <c r="I52" s="5" t="inlineStr">
        <is>
          <t>—</t>
        </is>
      </c>
      <c r="J52" s="5" t="inlineStr">
        <is>
          <t>2025-05-15</t>
        </is>
      </c>
      <c r="K52" s="5" t="inlineStr">
        <is>
          <t>2026-07-03</t>
        </is>
      </c>
      <c r="L52" s="5" t="inlineStr">
        <is>
          <t>Entitlement</t>
        </is>
      </c>
    </row>
    <row r="53">
      <c r="A53" s="5" t="inlineStr">
        <is>
          <t>233 E MAIN ST</t>
        </is>
      </c>
      <c r="B53" s="10" t="n">
        <v>2.76</v>
      </c>
      <c r="C53" s="5" t="inlineStr">
        <is>
          <t>Permitted</t>
        </is>
      </c>
      <c r="D53" s="5" t="inlineStr">
        <is>
          <t>—</t>
        </is>
      </c>
      <c r="E53" s="5" t="inlineStr">
        <is>
          <t>apartment_rental</t>
        </is>
      </c>
      <c r="F53" s="5" t="inlineStr">
        <is>
          <t>233 E MAIN ST</t>
        </is>
      </c>
      <c r="G53" s="5" t="inlineStr">
        <is>
          <t>Mesa</t>
        </is>
      </c>
      <c r="H53" s="5" t="inlineStr">
        <is>
          <t>—</t>
        </is>
      </c>
      <c r="I53" s="5" t="inlineStr">
        <is>
          <t>—</t>
        </is>
      </c>
      <c r="J53" s="5" t="inlineStr">
        <is>
          <t>2020-01-27</t>
        </is>
      </c>
      <c r="K53" s="5" t="inlineStr">
        <is>
          <t>2022-02-16</t>
        </is>
      </c>
      <c r="L53" s="5" t="inlineStr">
        <is>
          <t>County permits</t>
        </is>
      </c>
    </row>
    <row r="54">
      <c r="A54" s="5" t="inlineStr">
        <is>
          <t>NEC Neely St and Aviary Way</t>
        </is>
      </c>
      <c r="B54" s="10" t="n">
        <v>2.79</v>
      </c>
      <c r="C54" s="5" t="inlineStr">
        <is>
          <t>Entitlement</t>
        </is>
      </c>
      <c r="D54" s="7" t="n">
        <v>99</v>
      </c>
      <c r="E54" s="5" t="inlineStr">
        <is>
          <t>multifamily</t>
        </is>
      </c>
      <c r="F54" s="5" t="inlineStr">
        <is>
          <t>—</t>
        </is>
      </c>
      <c r="G54" s="5" t="inlineStr">
        <is>
          <t>—</t>
        </is>
      </c>
      <c r="H54" s="10" t="n">
        <v>11.75</v>
      </c>
      <c r="I54" s="5" t="inlineStr">
        <is>
          <t>—</t>
        </is>
      </c>
      <c r="J54" s="5" t="inlineStr">
        <is>
          <t>2026-07-03</t>
        </is>
      </c>
      <c r="K54" s="5" t="inlineStr">
        <is>
          <t>2026-07-03</t>
        </is>
      </c>
      <c r="L54" s="5" t="inlineStr">
        <is>
          <t>Entitlement</t>
        </is>
      </c>
    </row>
    <row r="55">
      <c r="A55" s="5" t="inlineStr">
        <is>
          <t>Mesa Main Street Apartments</t>
        </is>
      </c>
      <c r="B55" s="10" t="n">
        <v>2.81</v>
      </c>
      <c r="C55" s="5" t="inlineStr">
        <is>
          <t>Entitlement</t>
        </is>
      </c>
      <c r="D55" s="7" t="n">
        <v>36</v>
      </c>
      <c r="E55" s="5" t="inlineStr">
        <is>
          <t>multifamily</t>
        </is>
      </c>
      <c r="F55" s="5" t="inlineStr">
        <is>
          <t>—</t>
        </is>
      </c>
      <c r="G55" s="5" t="inlineStr">
        <is>
          <t>—</t>
        </is>
      </c>
      <c r="H55" s="10" t="n">
        <v>4.33</v>
      </c>
      <c r="I55" s="5" t="inlineStr">
        <is>
          <t>—</t>
        </is>
      </c>
      <c r="J55" s="5" t="inlineStr">
        <is>
          <t>2026-07-03</t>
        </is>
      </c>
      <c r="K55" s="5" t="inlineStr">
        <is>
          <t>2026-07-03</t>
        </is>
      </c>
      <c r="L55" s="5" t="inlineStr">
        <is>
          <t>Entitlement</t>
        </is>
      </c>
    </row>
    <row r="56">
      <c r="A56" s="5" t="inlineStr">
        <is>
          <t>145 E MAIN ST 1</t>
        </is>
      </c>
      <c r="B56" s="10" t="n">
        <v>2.89</v>
      </c>
      <c r="C56" s="5" t="inlineStr">
        <is>
          <t>Permitted</t>
        </is>
      </c>
      <c r="D56" s="7" t="n">
        <v>335</v>
      </c>
      <c r="E56" s="5" t="inlineStr">
        <is>
          <t>apartment_rental</t>
        </is>
      </c>
      <c r="F56" s="5" t="inlineStr">
        <is>
          <t>145 E MAIN ST 1</t>
        </is>
      </c>
      <c r="G56" s="5" t="inlineStr">
        <is>
          <t>Mesa</t>
        </is>
      </c>
      <c r="H56" s="5" t="inlineStr">
        <is>
          <t>—</t>
        </is>
      </c>
      <c r="I56" s="5" t="inlineStr">
        <is>
          <t>—</t>
        </is>
      </c>
      <c r="J56" s="5" t="inlineStr">
        <is>
          <t>2021-04-01</t>
        </is>
      </c>
      <c r="K56" s="5" t="inlineStr">
        <is>
          <t>2021-12-06</t>
        </is>
      </c>
      <c r="L56" s="5" t="inlineStr">
        <is>
          <t>County permits</t>
        </is>
      </c>
    </row>
    <row r="57">
      <c r="A57" s="5" t="inlineStr">
        <is>
          <t>Fiesta Rose Garden</t>
        </is>
      </c>
      <c r="B57" s="10" t="n">
        <v>2.93</v>
      </c>
      <c r="C57" s="5" t="inlineStr">
        <is>
          <t>Entitlement</t>
        </is>
      </c>
      <c r="D57" s="7" t="n">
        <v>12</v>
      </c>
      <c r="E57" s="5" t="inlineStr">
        <is>
          <t>multifamily</t>
        </is>
      </c>
      <c r="F57" s="5" t="inlineStr">
        <is>
          <t>—</t>
        </is>
      </c>
      <c r="G57" s="5" t="inlineStr">
        <is>
          <t>—</t>
        </is>
      </c>
      <c r="H57" s="10" t="n">
        <v>1.03</v>
      </c>
      <c r="I57" s="5" t="inlineStr">
        <is>
          <t>—</t>
        </is>
      </c>
      <c r="J57" s="5" t="inlineStr">
        <is>
          <t>2026-07-03</t>
        </is>
      </c>
      <c r="K57" s="5" t="inlineStr">
        <is>
          <t>2026-07-03</t>
        </is>
      </c>
      <c r="L57" s="5" t="inlineStr">
        <is>
          <t>Entitlement</t>
        </is>
      </c>
    </row>
    <row r="58">
      <c r="A58" s="5" t="inlineStr">
        <is>
          <t>NWC Gilbert Rd and Elliot Rd</t>
        </is>
      </c>
      <c r="B58" s="10" t="n">
        <v>2.99</v>
      </c>
      <c r="C58" s="5" t="inlineStr">
        <is>
          <t>Entitlement</t>
        </is>
      </c>
      <c r="D58" s="7" t="n">
        <v>200</v>
      </c>
      <c r="E58" s="5" t="inlineStr">
        <is>
          <t>mixed</t>
        </is>
      </c>
      <c r="F58" s="5" t="inlineStr">
        <is>
          <t>—</t>
        </is>
      </c>
      <c r="G58" s="5" t="inlineStr">
        <is>
          <t>—</t>
        </is>
      </c>
      <c r="H58" s="10" t="n">
        <v>2.19</v>
      </c>
      <c r="I58" s="5" t="inlineStr">
        <is>
          <t>—</t>
        </is>
      </c>
      <c r="J58" s="5" t="inlineStr">
        <is>
          <t>2026-07-03</t>
        </is>
      </c>
      <c r="K58" s="5" t="inlineStr">
        <is>
          <t>2026-07-03</t>
        </is>
      </c>
      <c r="L58" s="5" t="inlineStr">
        <is>
          <t>Entitlement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Sample Mesa Apt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Other Income</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Other Income</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General and Administrative</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General and Administrative</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Sample Mesa Apt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IF(COUNTIF('T-12 Raw data'!$B$6:$B$135,$A6)&gt;0,SUMIF('T-12 Raw data'!$B$6:$B$135,$A6,'T-12 Raw data'!$O$6:$O$135),"")</f>
        <v/>
      </c>
      <c r="C6" s="24">
        <f>IF(COUNTIF('T-12 Raw data'!$B$6:$B$135,$A6)&gt;0,SUMIF('T-12 Raw data'!$B$6:$B$135,$A6,'T-12 Raw data'!$P$6:$P$135)*4,"")</f>
        <v/>
      </c>
      <c r="D6" s="24">
        <f>IFERROR(B6/334,"")</f>
        <v/>
      </c>
      <c r="E6" s="25">
        <f>IFERROR(B6/B16,"")</f>
        <v/>
      </c>
    </row>
    <row r="7">
      <c r="A7" s="23" t="inlineStr">
        <is>
          <t>Gain / (Loss) to Lease</t>
        </is>
      </c>
      <c r="B7" s="24">
        <f>IF(COUNTIF('T-12 Raw data'!$B$6:$B$135,$A7)&gt;0,SUMIF('T-12 Raw data'!$B$6:$B$135,$A7,'T-12 Raw data'!$O$6:$O$135),"")</f>
        <v/>
      </c>
      <c r="C7" s="24">
        <f>IF(COUNTIF('T-12 Raw data'!$B$6:$B$135,$A7)&gt;0,SUMIF('T-12 Raw data'!$B$6:$B$135,$A7,'T-12 Raw data'!$P$6:$P$135)*4,"")</f>
        <v/>
      </c>
      <c r="D7" s="24">
        <f>IFERROR(B7/334,"")</f>
        <v/>
      </c>
      <c r="E7" s="25">
        <f>IFERROR(B7/B16,"")</f>
        <v/>
      </c>
    </row>
    <row r="8">
      <c r="A8" s="19" t="inlineStr">
        <is>
          <t>Gross Scheduled Rent</t>
        </is>
      </c>
      <c r="B8" s="20">
        <f>IF(COUNTIF('T-12 Raw data'!$B$6:$B$135,$A8)&gt;0,SUMIF('T-12 Raw data'!$B$6:$B$135,$A8,'T-12 Raw data'!$O$6:$O$135),IF(COUNTIF('T-12 Raw data'!$B$6:$B$135,$A6)+COUNTIF('T-12 Raw data'!$B$6:$B$135,$A7)&gt;0,IF(B6="",0,B6)+IF(B7="",0,B7),""))</f>
        <v/>
      </c>
      <c r="C8" s="20">
        <f>IF(COUNTIF('T-12 Raw data'!$B$6:$B$135,$A8)&gt;0,SUMIF('T-12 Raw data'!$B$6:$B$135,$A8,'T-12 Raw data'!$P$6:$P$135)*4,IF(COUNTIF('T-12 Raw data'!$B$6:$B$135,$A6)+COUNTIF('T-12 Raw data'!$B$6:$B$135,$A7)&gt;0,IF(C6="",0,C6)+IF(C7="",0,C7),""))</f>
        <v/>
      </c>
      <c r="D8" s="20">
        <f>IFERROR(B8/334,"")</f>
        <v/>
      </c>
      <c r="E8" s="21">
        <f>IFERROR(B8/B16,"")</f>
        <v/>
      </c>
    </row>
    <row r="9">
      <c r="A9" s="23" t="inlineStr">
        <is>
          <t>Vacancy</t>
        </is>
      </c>
      <c r="B9" s="24">
        <f>IF(COUNTIF('T-12 Raw data'!$B$6:$B$135,$A9)&gt;0,SUMIF('T-12 Raw data'!$B$6:$B$135,$A9,'T-12 Raw data'!$O$6:$O$135),"")</f>
        <v/>
      </c>
      <c r="C9" s="24">
        <f>IF(COUNTIF('T-12 Raw data'!$B$6:$B$135,$A9)&gt;0,SUMIF('T-12 Raw data'!$B$6:$B$135,$A9,'T-12 Raw data'!$P$6:$P$135)*4,"")</f>
        <v/>
      </c>
      <c r="D9" s="24">
        <f>IFERROR(B9/334,"")</f>
        <v/>
      </c>
      <c r="E9" s="25">
        <f>IFERROR(B9/B16,"")</f>
        <v/>
      </c>
    </row>
    <row r="10">
      <c r="A10" s="23" t="inlineStr">
        <is>
          <t>Concessions</t>
        </is>
      </c>
      <c r="B10" s="24">
        <f>IF(COUNTIF('T-12 Raw data'!$B$6:$B$135,$A10)&gt;0,SUMIF('T-12 Raw data'!$B$6:$B$135,$A10,'T-12 Raw data'!$O$6:$O$135),"")</f>
        <v/>
      </c>
      <c r="C10" s="24">
        <f>IF(COUNTIF('T-12 Raw data'!$B$6:$B$135,$A10)&gt;0,SUMIF('T-12 Raw data'!$B$6:$B$135,$A10,'T-12 Raw data'!$P$6:$P$135)*4,"")</f>
        <v/>
      </c>
      <c r="D10" s="24">
        <f>IFERROR(B10/334,"")</f>
        <v/>
      </c>
      <c r="E10" s="25">
        <f>IFERROR(B10/B16,"")</f>
        <v/>
      </c>
    </row>
    <row r="11">
      <c r="A11" s="23" t="inlineStr">
        <is>
          <t>Non-Revenue Units</t>
        </is>
      </c>
      <c r="B11" s="24">
        <f>IF(COUNTIF('T-12 Raw data'!$B$6:$B$135,$A11)&gt;0,SUMIF('T-12 Raw data'!$B$6:$B$135,$A11,'T-12 Raw data'!$O$6:$O$135),"")</f>
        <v/>
      </c>
      <c r="C11" s="24">
        <f>IF(COUNTIF('T-12 Raw data'!$B$6:$B$135,$A11)&gt;0,SUMIF('T-12 Raw data'!$B$6:$B$135,$A11,'T-12 Raw data'!$P$6:$P$135)*4,"")</f>
        <v/>
      </c>
      <c r="D11" s="24">
        <f>IFERROR(B11/334,"")</f>
        <v/>
      </c>
      <c r="E11" s="25">
        <f>IFERROR(B11/B16,"")</f>
        <v/>
      </c>
    </row>
    <row r="12">
      <c r="A12" s="23" t="inlineStr">
        <is>
          <t>Delinquency</t>
        </is>
      </c>
      <c r="B12" s="24">
        <f>IF(COUNTIF('T-12 Raw data'!$B$6:$B$135,$A12)&gt;0,SUMIF('T-12 Raw data'!$B$6:$B$135,$A12,'T-12 Raw data'!$O$6:$O$135),"")</f>
        <v/>
      </c>
      <c r="C12" s="24">
        <f>IF(COUNTIF('T-12 Raw data'!$B$6:$B$135,$A12)&gt;0,SUMIF('T-12 Raw data'!$B$6:$B$135,$A12,'T-12 Raw data'!$P$6:$P$135)*4,"")</f>
        <v/>
      </c>
      <c r="D12" s="24">
        <f>IFERROR(B12/334,"")</f>
        <v/>
      </c>
      <c r="E12" s="25">
        <f>IFERROR(B12/B16,"")</f>
        <v/>
      </c>
    </row>
    <row r="13">
      <c r="A13" s="23" t="inlineStr">
        <is>
          <t>Utility Reimbursements</t>
        </is>
      </c>
      <c r="B13" s="24">
        <f>IF(COUNTIF('T-12 Raw data'!$B$6:$B$135,$A13)&gt;0,SUMIF('T-12 Raw data'!$B$6:$B$135,$A13,'T-12 Raw data'!$O$6:$O$135),"")</f>
        <v/>
      </c>
      <c r="C13" s="24">
        <f>IF(COUNTIF('T-12 Raw data'!$B$6:$B$135,$A13)&gt;0,SUMIF('T-12 Raw data'!$B$6:$B$135,$A13,'T-12 Raw data'!$P$6:$P$135)*4,"")</f>
        <v/>
      </c>
      <c r="D13" s="24">
        <f>IFERROR(B13/334,"")</f>
        <v/>
      </c>
      <c r="E13" s="25">
        <f>IFERROR(B13/B16,"")</f>
        <v/>
      </c>
    </row>
    <row r="14">
      <c r="A14" s="23" t="inlineStr">
        <is>
          <t>Other Income</t>
        </is>
      </c>
      <c r="B14" s="24">
        <f>IF(COUNTIF('T-12 Raw data'!$B$6:$B$135,$A14)&gt;0,SUMIF('T-12 Raw data'!$B$6:$B$135,$A14,'T-12 Raw data'!$O$6:$O$135),"")</f>
        <v/>
      </c>
      <c r="C14" s="24">
        <f>IF(COUNTIF('T-12 Raw data'!$B$6:$B$135,$A14)&gt;0,SUMIF('T-12 Raw data'!$B$6:$B$135,$A14,'T-12 Raw data'!$P$6:$P$135)*4,"")</f>
        <v/>
      </c>
      <c r="D14" s="24">
        <f>IFERROR(B14/334,"")</f>
        <v/>
      </c>
      <c r="E14" s="25">
        <f>IFERROR(B14/B16,"")</f>
        <v/>
      </c>
    </row>
    <row r="15">
      <c r="A15" s="23" t="inlineStr">
        <is>
          <t>Revenue Adjustments</t>
        </is>
      </c>
      <c r="B15" s="24">
        <f>IF(COUNTIF('T-12 Raw data'!$B$6:$B$135,$A15)&gt;0,SUMIF('T-12 Raw data'!$B$6:$B$135,$A15,'T-12 Raw data'!$O$6:$O$135),"")</f>
        <v/>
      </c>
      <c r="C15" s="24">
        <f>IF(COUNTIF('T-12 Raw data'!$B$6:$B$135,$A15)&gt;0,SUMIF('T-12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IF(COUNTIF('T-12 Raw data'!$B$6:$B$135,$A17)&gt;0,SUMIF('T-12 Raw data'!$B$6:$B$135,$A17,'T-12 Raw data'!$O$6:$O$135),"")</f>
        <v/>
      </c>
      <c r="C17" s="24">
        <f>IF(COUNTIF('T-12 Raw data'!$B$6:$B$135,$A17)&gt;0,SUMIF('T-12 Raw data'!$B$6:$B$135,$A17,'T-12 Raw data'!$P$6:$P$135)*4,"")</f>
        <v/>
      </c>
      <c r="D17" s="24">
        <f>IFERROR(B17/334,"")</f>
        <v/>
      </c>
      <c r="E17" s="25">
        <f>IFERROR(B17/B16,"")</f>
        <v/>
      </c>
    </row>
    <row r="18">
      <c r="A18" s="23" t="inlineStr">
        <is>
          <t>Leasing and Marketing</t>
        </is>
      </c>
      <c r="B18" s="24">
        <f>IF(COUNTIF('T-12 Raw data'!$B$6:$B$135,$A18)&gt;0,SUMIF('T-12 Raw data'!$B$6:$B$135,$A18,'T-12 Raw data'!$O$6:$O$135),"")</f>
        <v/>
      </c>
      <c r="C18" s="24">
        <f>IF(COUNTIF('T-12 Raw data'!$B$6:$B$135,$A18)&gt;0,SUMIF('T-12 Raw data'!$B$6:$B$135,$A18,'T-12 Raw data'!$P$6:$P$135)*4,"")</f>
        <v/>
      </c>
      <c r="D18" s="24">
        <f>IFERROR(B18/334,"")</f>
        <v/>
      </c>
      <c r="E18" s="25">
        <f>IFERROR(B18/B16,"")</f>
        <v/>
      </c>
    </row>
    <row r="19">
      <c r="A19" s="23" t="inlineStr">
        <is>
          <t>Payroll</t>
        </is>
      </c>
      <c r="B19" s="24">
        <f>IF(COUNTIF('T-12 Raw data'!$B$6:$B$135,$A19)&gt;0,SUMIF('T-12 Raw data'!$B$6:$B$135,$A19,'T-12 Raw data'!$O$6:$O$135),"")</f>
        <v/>
      </c>
      <c r="C19" s="24">
        <f>IF(COUNTIF('T-12 Raw data'!$B$6:$B$135,$A19)&gt;0,SUMIF('T-12 Raw data'!$B$6:$B$135,$A19,'T-12 Raw data'!$P$6:$P$135)*4,"")</f>
        <v/>
      </c>
      <c r="D19" s="24">
        <f>IFERROR(B19/334,"")</f>
        <v/>
      </c>
      <c r="E19" s="25">
        <f>IFERROR(B19/B16,"")</f>
        <v/>
      </c>
    </row>
    <row r="20">
      <c r="A20" s="23" t="inlineStr">
        <is>
          <t>Insurance</t>
        </is>
      </c>
      <c r="B20" s="24">
        <f>IF(COUNTIF('T-12 Raw data'!$B$6:$B$135,$A20)&gt;0,SUMIF('T-12 Raw data'!$B$6:$B$135,$A20,'T-12 Raw data'!$O$6:$O$135),"")</f>
        <v/>
      </c>
      <c r="C20" s="24">
        <f>IF(COUNTIF('T-12 Raw data'!$B$6:$B$135,$A20)&gt;0,SUMIF('T-12 Raw data'!$B$6:$B$135,$A20,'T-12 Raw data'!$P$6:$P$135)*4,"")</f>
        <v/>
      </c>
      <c r="D20" s="24">
        <f>IFERROR(B20/334,"")</f>
        <v/>
      </c>
      <c r="E20" s="25">
        <f>IFERROR(B20/B16,"")</f>
        <v/>
      </c>
    </row>
    <row r="21">
      <c r="A21" s="23" t="inlineStr">
        <is>
          <t>Property Taxes</t>
        </is>
      </c>
      <c r="B21" s="24">
        <f>IF(COUNTIF('T-12 Raw data'!$B$6:$B$135,$A21)&gt;0,SUMIF('T-12 Raw data'!$B$6:$B$135,$A21,'T-12 Raw data'!$O$6:$O$135),"")</f>
        <v/>
      </c>
      <c r="C21" s="24">
        <f>IF(COUNTIF('T-12 Raw data'!$B$6:$B$135,$A21)&gt;0,SUMIF('T-12 Raw data'!$B$6:$B$135,$A21,'T-12 Raw data'!$P$6:$P$135)*4,"")</f>
        <v/>
      </c>
      <c r="D21" s="24">
        <f>IFERROR(B21/334,"")</f>
        <v/>
      </c>
      <c r="E21" s="25">
        <f>IFERROR(B21/B16,"")</f>
        <v/>
      </c>
    </row>
    <row r="22">
      <c r="A22" s="23" t="inlineStr">
        <is>
          <t>Legal and Professional</t>
        </is>
      </c>
      <c r="B22" s="24">
        <f>IF(COUNTIF('T-12 Raw data'!$B$6:$B$135,$A22)&gt;0,SUMIF('T-12 Raw data'!$B$6:$B$135,$A22,'T-12 Raw data'!$O$6:$O$135),"")</f>
        <v/>
      </c>
      <c r="C22" s="24">
        <f>IF(COUNTIF('T-12 Raw data'!$B$6:$B$135,$A22)&gt;0,SUMIF('T-12 Raw data'!$B$6:$B$135,$A22,'T-12 Raw data'!$P$6:$P$135)*4,"")</f>
        <v/>
      </c>
      <c r="D22" s="24">
        <f>IFERROR(B22/334,"")</f>
        <v/>
      </c>
      <c r="E22" s="25">
        <f>IFERROR(B22/B16,"")</f>
        <v/>
      </c>
    </row>
    <row r="23">
      <c r="A23" s="23" t="inlineStr">
        <is>
          <t>Management Fee</t>
        </is>
      </c>
      <c r="B23" s="24">
        <f>IF(COUNTIF('T-12 Raw data'!$B$6:$B$135,$A23)&gt;0,SUMIF('T-12 Raw data'!$B$6:$B$135,$A23,'T-12 Raw data'!$O$6:$O$135),"")</f>
        <v/>
      </c>
      <c r="C23" s="24">
        <f>IF(COUNTIF('T-12 Raw data'!$B$6:$B$135,$A23)&gt;0,SUMIF('T-12 Raw data'!$B$6:$B$135,$A23,'T-12 Raw data'!$P$6:$P$135)*4,"")</f>
        <v/>
      </c>
      <c r="D23" s="24">
        <f>IFERROR(B23/334,"")</f>
        <v/>
      </c>
      <c r="E23" s="25">
        <f>IFERROR(B23/B16,"")</f>
        <v/>
      </c>
    </row>
    <row r="24">
      <c r="A24" s="23" t="inlineStr">
        <is>
          <t>Landscaping</t>
        </is>
      </c>
      <c r="B24" s="24">
        <f>IF(COUNTIF('T-12 Raw data'!$B$6:$B$135,$A24)&gt;0,SUMIF('T-12 Raw data'!$B$6:$B$135,$A24,'T-12 Raw data'!$O$6:$O$135),"")</f>
        <v/>
      </c>
      <c r="C24" s="24">
        <f>IF(COUNTIF('T-12 Raw data'!$B$6:$B$135,$A24)&gt;0,SUMIF('T-12 Raw data'!$B$6:$B$135,$A24,'T-12 Raw data'!$P$6:$P$135)*4,"")</f>
        <v/>
      </c>
      <c r="D24" s="24">
        <f>IFERROR(B24/334,"")</f>
        <v/>
      </c>
      <c r="E24" s="25">
        <f>IFERROR(B24/B16,"")</f>
        <v/>
      </c>
    </row>
    <row r="25">
      <c r="A25" s="23" t="inlineStr">
        <is>
          <t>Repairs and Maintenance</t>
        </is>
      </c>
      <c r="B25" s="24">
        <f>IF(COUNTIF('T-12 Raw data'!$B$6:$B$135,$A25)&gt;0,SUMIF('T-12 Raw data'!$B$6:$B$135,$A25,'T-12 Raw data'!$O$6:$O$135),"")</f>
        <v/>
      </c>
      <c r="C25" s="24">
        <f>IF(COUNTIF('T-12 Raw data'!$B$6:$B$135,$A25)&gt;0,SUMIF('T-12 Raw data'!$B$6:$B$135,$A25,'T-12 Raw data'!$P$6:$P$135)*4,"")</f>
        <v/>
      </c>
      <c r="D25" s="24">
        <f>IFERROR(B25/334,"")</f>
        <v/>
      </c>
      <c r="E25" s="25">
        <f>IFERROR(B25/B16,"")</f>
        <v/>
      </c>
    </row>
    <row r="26">
      <c r="A26" s="23" t="inlineStr">
        <is>
          <t>Unit Turns</t>
        </is>
      </c>
      <c r="B26" s="24">
        <f>IF(COUNTIF('T-12 Raw data'!$B$6:$B$135,$A26)&gt;0,SUMIF('T-12 Raw data'!$B$6:$B$135,$A26,'T-12 Raw data'!$O$6:$O$135),"")</f>
        <v/>
      </c>
      <c r="C26" s="24">
        <f>IF(COUNTIF('T-12 Raw data'!$B$6:$B$135,$A26)&gt;0,SUMIF('T-12 Raw data'!$B$6:$B$135,$A26,'T-12 Raw data'!$P$6:$P$135)*4,"")</f>
        <v/>
      </c>
      <c r="D26" s="24">
        <f>IFERROR(B26/334,"")</f>
        <v/>
      </c>
      <c r="E26" s="25">
        <f>IFERROR(B26/B16,"")</f>
        <v/>
      </c>
    </row>
    <row r="27">
      <c r="A27" s="23" t="inlineStr">
        <is>
          <t>Utilities</t>
        </is>
      </c>
      <c r="B27" s="24">
        <f>IF(COUNTIF('T-12 Raw data'!$B$6:$B$135,$A27)&gt;0,SUMIF('T-12 Raw data'!$B$6:$B$135,$A27,'T-12 Raw data'!$O$6:$O$135),"")</f>
        <v/>
      </c>
      <c r="C27" s="24">
        <f>IF(COUNTIF('T-12 Raw data'!$B$6:$B$135,$A27)&gt;0,SUMIF('T-12 Raw data'!$B$6:$B$135,$A27,'T-12 Raw data'!$P$6:$P$135)*4,"")</f>
        <v/>
      </c>
      <c r="D27" s="24">
        <f>IFERROR(B27/334,"")</f>
        <v/>
      </c>
      <c r="E27" s="25">
        <f>IFERROR(B27/B16,"")</f>
        <v/>
      </c>
    </row>
    <row r="28">
      <c r="A28" s="23" t="inlineStr">
        <is>
          <t>Expense Adjustments</t>
        </is>
      </c>
      <c r="B28" s="24">
        <f>IF(COUNTIF('T-12 Raw data'!$B$6:$B$135,$A28)&gt;0,SUMIF('T-12 Raw data'!$B$6:$B$135,$A28,'T-12 Raw data'!$O$6:$O$135),"")</f>
        <v/>
      </c>
      <c r="C28" s="24">
        <f>IF(COUNTIF('T-12 Raw data'!$B$6:$B$135,$A28)&gt;0,SUMIF('T-12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5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RENTER'S INSURANCE EXPENSE (3176)</t>
        </is>
      </c>
      <c r="B39" s="7" t="n">
        <v>-55891.32</v>
      </c>
      <c r="C39" s="7" t="n">
        <v>-57108.2</v>
      </c>
    </row>
    <row r="40">
      <c r="A40" s="5" t="inlineStr">
        <is>
          <t>LATE CHARGES (3011)</t>
        </is>
      </c>
      <c r="B40" s="7" t="n">
        <v>52406.47</v>
      </c>
      <c r="C40" s="7" t="n">
        <v>37520.16</v>
      </c>
    </row>
    <row r="41">
      <c r="A41" s="5" t="inlineStr">
        <is>
          <t>All other other income (17 lines)</t>
        </is>
      </c>
      <c r="B41" s="7" t="n">
        <v>200733</v>
      </c>
      <c r="C41" s="7" t="n">
        <v>196518.6</v>
      </c>
    </row>
    <row r="42">
      <c r="A42" s="18" t="inlineStr">
        <is>
          <t>Total other income</t>
        </is>
      </c>
      <c r="B42" s="20">
        <f>'T-12 Analysis'!B14</f>
        <v/>
      </c>
      <c r="C42" s="20">
        <f>'T-12 Analysis'!C14</f>
        <v/>
      </c>
    </row>
    <row r="44">
      <c r="A44" s="4" t="inlineStr">
        <is>
          <t>Utility Reimbursements — top 4 plus rest</t>
        </is>
      </c>
      <c r="B44" s="4" t="n"/>
      <c r="C44" s="4" t="n"/>
    </row>
    <row r="45">
      <c r="A45" s="14" t="inlineStr">
        <is>
          <t>Line item</t>
        </is>
      </c>
      <c r="B45" s="14" t="inlineStr">
        <is>
          <t>T-12</t>
        </is>
      </c>
      <c r="C45" s="14" t="inlineStr">
        <is>
          <t>T-3 annualized</t>
        </is>
      </c>
    </row>
    <row r="46">
      <c r="A46" s="5" t="inlineStr">
        <is>
          <t>WATER/SEWER REIMBURSEMENT (3186)</t>
        </is>
      </c>
      <c r="B46" s="7" t="n">
        <v>209955.79</v>
      </c>
      <c r="C46" s="7" t="n">
        <v>202017.76</v>
      </c>
    </row>
    <row r="47">
      <c r="A47" s="5" t="inlineStr">
        <is>
          <t>VALET TRASH REIMBURSEMENTS (3001)</t>
        </is>
      </c>
      <c r="B47" s="7" t="n">
        <v>92098.19</v>
      </c>
      <c r="C47" s="7" t="n">
        <v>102302.8</v>
      </c>
    </row>
    <row r="48">
      <c r="A48" s="5" t="inlineStr">
        <is>
          <t>TRASH REIMBURSEMENT (3187)</t>
        </is>
      </c>
      <c r="B48" s="7" t="n">
        <v>48980.96</v>
      </c>
      <c r="C48" s="7" t="n">
        <v>40944.64</v>
      </c>
    </row>
    <row r="49">
      <c r="A49" s="5" t="inlineStr">
        <is>
          <t>UTILITY FEE REIMBURSEMENT (3183)</t>
        </is>
      </c>
      <c r="B49" s="7" t="n">
        <v>14581.28</v>
      </c>
      <c r="C49" s="7" t="n">
        <v>14432.88</v>
      </c>
    </row>
    <row r="50">
      <c r="A50" s="5" t="inlineStr">
        <is>
          <t>All other utility reimbursements (1 lines)</t>
        </is>
      </c>
      <c r="B50" s="7" t="n">
        <v>6318.52</v>
      </c>
      <c r="C50" s="7" t="n">
        <v>3798.56</v>
      </c>
    </row>
    <row r="51">
      <c r="A51" s="18" t="inlineStr">
        <is>
          <t>Total utility reimbursements</t>
        </is>
      </c>
      <c r="B51" s="20">
        <f>'T-12 Analysis'!B13</f>
        <v/>
      </c>
      <c r="C51" s="20">
        <f>'T-12 Analysis'!C13</f>
        <v/>
      </c>
    </row>
    <row r="53">
      <c r="A53" s="4" t="inlineStr">
        <is>
          <t>Utilities — top 4 plus rest</t>
        </is>
      </c>
      <c r="B53" s="4" t="n"/>
      <c r="C53" s="4" t="n"/>
    </row>
    <row r="54">
      <c r="A54" s="14" t="inlineStr">
        <is>
          <t>Line item</t>
        </is>
      </c>
      <c r="B54" s="14" t="inlineStr">
        <is>
          <t>T-12</t>
        </is>
      </c>
      <c r="C54" s="14" t="inlineStr">
        <is>
          <t>T-3 annualized</t>
        </is>
      </c>
    </row>
    <row r="55">
      <c r="A55" s="5" t="inlineStr">
        <is>
          <t>WATER (7060)</t>
        </is>
      </c>
      <c r="B55" s="7" t="n">
        <v>102297.25</v>
      </c>
      <c r="C55" s="7" t="n">
        <v>104995.64</v>
      </c>
    </row>
    <row r="56">
      <c r="A56" s="5" t="inlineStr">
        <is>
          <t>SEWAGE (7070)</t>
        </is>
      </c>
      <c r="B56" s="7" t="n">
        <v>84050.12</v>
      </c>
      <c r="C56" s="7" t="n">
        <v>85693.79999999999</v>
      </c>
    </row>
    <row r="57">
      <c r="A57" s="5" t="inlineStr">
        <is>
          <t>TRASH REMOVAL (7025)</t>
        </is>
      </c>
      <c r="B57" s="7" t="n">
        <v>57099.47</v>
      </c>
      <c r="C57" s="7" t="n">
        <v>64295.64</v>
      </c>
    </row>
    <row r="58">
      <c r="A58" s="5" t="inlineStr">
        <is>
          <t>VALET TRASH (7026)</t>
        </is>
      </c>
      <c r="B58" s="7" t="n">
        <v>37188.33</v>
      </c>
      <c r="C58" s="7" t="n">
        <v>36140.28</v>
      </c>
    </row>
    <row r="59">
      <c r="A59" s="5" t="inlineStr">
        <is>
          <t>All other utilities (5 lines)</t>
        </is>
      </c>
      <c r="B59" s="7" t="n">
        <v>56529.97</v>
      </c>
      <c r="C59" s="7" t="n">
        <v>51636.28</v>
      </c>
    </row>
    <row r="60">
      <c r="A60" s="18" t="inlineStr">
        <is>
          <t>Total utilities</t>
        </is>
      </c>
      <c r="B60" s="20">
        <f>'T-12 Analysis'!B27</f>
        <v/>
      </c>
      <c r="C60" s="20">
        <f>'T-12 Analysis'!C27</f>
        <v/>
      </c>
    </row>
    <row r="62">
      <c r="A62" s="4" t="inlineStr">
        <is>
          <t>Trailing T-3 annualized revenue</t>
        </is>
      </c>
      <c r="B62" s="4" t="n"/>
      <c r="C62" s="4" t="n"/>
    </row>
    <row r="63">
      <c r="A63" s="14" t="inlineStr">
        <is>
          <t>Month</t>
        </is>
      </c>
      <c r="B63" s="14" t="inlineStr">
        <is>
          <t>T-3 annualized revenue</t>
        </is>
      </c>
      <c r="C63" s="14" t="inlineStr"/>
    </row>
    <row r="64">
      <c r="A64" s="5" t="inlineStr">
        <is>
          <t>2026-01</t>
        </is>
      </c>
      <c r="B64" s="7" t="n">
        <v>6022368.64</v>
      </c>
      <c r="C64" s="12" t="n"/>
    </row>
    <row r="65">
      <c r="A65" s="5" t="inlineStr">
        <is>
          <t>2026-02</t>
        </is>
      </c>
      <c r="B65" s="7" t="n">
        <v>6022883.76</v>
      </c>
      <c r="C65" s="12" t="n"/>
    </row>
    <row r="66">
      <c r="A66" s="5" t="inlineStr">
        <is>
          <t>2026-03</t>
        </is>
      </c>
      <c r="B66" s="7" t="n">
        <v>6075786.08</v>
      </c>
      <c r="C66" s="12" t="n"/>
    </row>
    <row r="67">
      <c r="A67" s="5" t="inlineStr">
        <is>
          <t>2026-04</t>
        </is>
      </c>
      <c r="B67" s="7" t="n">
        <v>6144708.68</v>
      </c>
      <c r="C67" s="12" t="n"/>
    </row>
    <row r="68">
      <c r="A68" s="5" t="inlineStr">
        <is>
          <t>2026-05</t>
        </is>
      </c>
      <c r="B68" s="7" t="n">
        <v>6100665.88</v>
      </c>
      <c r="C68" s="12" t="n"/>
    </row>
    <row r="69">
      <c r="A69" s="5" t="inlineStr">
        <is>
          <t>2026-06</t>
        </is>
      </c>
      <c r="B69" s="7" t="n">
        <v>6228784.32</v>
      </c>
      <c r="C69" s="12" t="n"/>
    </row>
    <row r="70">
      <c r="A70" s="2" t="inlineStr">
        <is>
          <t>Each figure is that month plus the two before it, times four — the trend the T-3 cap rate sits at the end of. Fewer than eight months of statement give fewer figures, never a padded zero.</t>
        </is>
      </c>
    </row>
    <row r="72">
      <c r="A72" s="4" t="inlineStr">
        <is>
          <t>Pricing and cap rate (illustrative)</t>
        </is>
      </c>
      <c r="B72" s="4" t="n"/>
      <c r="C72" s="4" t="n"/>
      <c r="D72" s="4" t="n"/>
      <c r="E72" s="4" t="n"/>
      <c r="F72" s="4" t="n"/>
    </row>
    <row r="73">
      <c r="A73" s="5" t="inlineStr">
        <is>
          <t>Price per unit</t>
        </is>
      </c>
      <c r="B73" s="7" t="n">
        <v>215000</v>
      </c>
      <c r="C73" s="6" t="inlineStr">
        <is>
          <t>Every price and cap rate below is illustrative. The per-unit price is a round number chosen for the sample inside the band a real per-unit sale price occupies; it is not a quote, an offer, or a broker's guidance.</t>
        </is>
      </c>
    </row>
    <row r="74">
      <c r="A74" s="5" t="inlineStr">
        <is>
          <t>Unit count</t>
        </is>
      </c>
      <c r="B74" s="7" t="n">
        <v>334</v>
      </c>
    </row>
    <row r="75">
      <c r="A75" s="5" t="inlineStr">
        <is>
          <t>Total purchase price</t>
        </is>
      </c>
      <c r="B75" s="7">
        <f>B73*B74</f>
        <v/>
      </c>
    </row>
    <row r="77">
      <c r="A77" s="5" t="inlineStr">
        <is>
          <t>T-12 revenue</t>
        </is>
      </c>
      <c r="B77" s="7">
        <f>'T-12 Analysis'!B16</f>
        <v/>
      </c>
    </row>
    <row r="78">
      <c r="A78" s="5" t="inlineStr">
        <is>
          <t>T-12 operating expenses</t>
        </is>
      </c>
      <c r="B78" s="7">
        <f>'T-12 Analysis'!B29</f>
        <v/>
      </c>
    </row>
    <row r="79">
      <c r="A79" s="5" t="inlineStr">
        <is>
          <t>T-12 net operating income</t>
        </is>
      </c>
      <c r="B79" s="7">
        <f>'T-12 Analysis'!B30</f>
        <v/>
      </c>
    </row>
    <row r="80">
      <c r="A80" s="5" t="inlineStr">
        <is>
          <t>T-12 cap rate (illustrative)</t>
        </is>
      </c>
      <c r="B80" s="9">
        <f>IFERROR(B79/B75,"")</f>
        <v/>
      </c>
    </row>
    <row r="82">
      <c r="A82" s="5" t="inlineStr">
        <is>
          <t>T-3 annualized revenue</t>
        </is>
      </c>
      <c r="B82" s="7">
        <f>'T-12 Analysis'!C16</f>
        <v/>
      </c>
    </row>
    <row r="83">
      <c r="A83" s="5" t="inlineStr">
        <is>
          <t>T-3 annualized operating expenses</t>
        </is>
      </c>
      <c r="B83" s="7">
        <f>'T-12 Analysis'!C29</f>
        <v/>
      </c>
    </row>
    <row r="84">
      <c r="A84" s="5" t="inlineStr">
        <is>
          <t>T-3 annualized net operating income</t>
        </is>
      </c>
      <c r="B84" s="7">
        <f>'T-12 Analysis'!C30</f>
        <v/>
      </c>
    </row>
    <row r="85">
      <c r="A85" s="5" t="inlineStr">
        <is>
          <t>T-3 annualized cap rate (illustrative)</t>
        </is>
      </c>
      <c r="B85" s="9">
        <f>IFERROR(B84/B75,"")</f>
        <v/>
      </c>
    </row>
    <row r="87">
      <c r="A87" s="4" t="inlineStr">
        <is>
          <t>Revenue trend</t>
        </is>
      </c>
      <c r="B87" s="4" t="n"/>
      <c r="C87" s="4" t="n"/>
      <c r="D87" s="4" t="n"/>
      <c r="E87" s="4" t="n"/>
      <c r="F87" s="4" t="n"/>
    </row>
    <row r="88">
      <c r="A88" s="5" t="inlineStr">
        <is>
          <t>T-12 revenue</t>
        </is>
      </c>
      <c r="B88" s="7">
        <f>'T-12 Analysis'!B16</f>
        <v/>
      </c>
    </row>
    <row r="89">
      <c r="A89" s="5" t="inlineStr">
        <is>
          <t>T-6 revenue (annualized)</t>
        </is>
      </c>
      <c r="B89" s="7">
        <f>SUM('T-12 Raw data'!I137:N137)*2</f>
        <v/>
      </c>
      <c r="C89" s="6" t="inlineStr">
        <is>
          <t>Trailing six months times two, off the T-12 Data tab's computed revenue row.</t>
        </is>
      </c>
    </row>
    <row r="90">
      <c r="A90" s="5" t="inlineStr">
        <is>
          <t>T-3 revenue (annualized)</t>
        </is>
      </c>
      <c r="B90" s="7">
        <f>'T-12 Analysis'!C16</f>
        <v/>
      </c>
    </row>
    <row r="91">
      <c r="A91" s="5" t="inlineStr">
        <is>
          <t>T-3 versus T-12</t>
        </is>
      </c>
      <c r="B91" s="11">
        <f>IFERROR(B90/B77-1,"")</f>
        <v/>
      </c>
      <c r="C91"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IF(C7="","",IF(B7="",0,B7)-C7)</f>
        <v/>
      </c>
      <c r="E7" s="12">
        <f>IF(C7="","NOT CHECKED",IF(ABS(D7)&lt;=1,"OK","REVIEW"))</f>
        <v/>
      </c>
      <c r="F7" s="12" t="n"/>
    </row>
    <row r="8">
      <c r="A8" s="5" t="inlineStr">
        <is>
          <t>Total Operating Expenses</t>
        </is>
      </c>
      <c r="B8" s="7">
        <f>'T-12 Analysis'!B29</f>
        <v/>
      </c>
      <c r="C8" s="7" t="n">
        <v>2054907.91</v>
      </c>
      <c r="D8" s="7">
        <f>IF(C8="","",IF(B8="",0,B8)-C8)</f>
        <v/>
      </c>
      <c r="E8" s="12">
        <f>IF(C8="","NOT CHECKED",IF(ABS(D8)&lt;=1,"OK","REVIEW"))</f>
        <v/>
      </c>
      <c r="F8" s="12" t="n"/>
    </row>
    <row r="9">
      <c r="A9" s="5" t="inlineStr">
        <is>
          <t>Net Operating Income</t>
        </is>
      </c>
      <c r="B9" s="7">
        <f>'T-12 Analysis'!B30</f>
        <v/>
      </c>
      <c r="C9" s="7" t="n">
        <v>4111751.01</v>
      </c>
      <c r="D9" s="7">
        <f>IF(C9="","",IF(B9="",0,B9)-C9)</f>
        <v/>
      </c>
      <c r="E9" s="12">
        <f>IF(C9="","NOT CHECKED",IF(ABS(D9)&lt;=1,"OK","REVIEW"))</f>
        <v/>
      </c>
      <c r="F9" s="12" t="n"/>
    </row>
    <row r="10">
      <c r="A10" s="5" t="inlineStr">
        <is>
          <t>Other Income</t>
        </is>
      </c>
      <c r="B10" s="7">
        <f>'T-12 Analysis'!B14</f>
        <v/>
      </c>
      <c r="C10" s="12" t="n"/>
      <c r="D10" s="7">
        <f>IF(C10="","",IF(B10="",0,B10)-C10)</f>
        <v/>
      </c>
      <c r="E10" s="12">
        <f>IF(C10="","NOT CHECKED",IF(ABS(D10)&lt;=1,"OK","REVIEW"))</f>
        <v/>
      </c>
      <c r="F10" s="5" t="inlineStr">
        <is>
          <t>The source statement printed no subtotal for this line.</t>
        </is>
      </c>
    </row>
    <row r="11">
      <c r="A11" s="5" t="inlineStr">
        <is>
          <t>Utility Reimbursements</t>
        </is>
      </c>
      <c r="B11" s="7">
        <f>'T-12 Analysis'!B13</f>
        <v/>
      </c>
      <c r="C11" s="12" t="n"/>
      <c r="D11" s="7">
        <f>IF(C11="","",IF(B11="",0,B11)-C11)</f>
        <v/>
      </c>
      <c r="E11" s="12">
        <f>IF(C11="","NOT CHECKED",IF(ABS(D11)&lt;=1,"OK","REVIEW"))</f>
        <v/>
      </c>
      <c r="F11" s="5" t="inlineStr">
        <is>
          <t>The source statement printed no subtotal for this line.</t>
        </is>
      </c>
    </row>
    <row r="12">
      <c r="A12" s="5" t="inlineStr">
        <is>
          <t>Utilities</t>
        </is>
      </c>
      <c r="B12" s="7">
        <f>'T-12 Analysis'!B27</f>
        <v/>
      </c>
      <c r="C12" s="7" t="n">
        <v>337165.1</v>
      </c>
      <c r="D12" s="7">
        <f>IF(C12="","",IF(B12="",0,B12)-C12)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Statement sanity checks</t>
        </is>
      </c>
      <c r="B16" s="4" t="n"/>
      <c r="C16" s="4" t="n"/>
      <c r="D16" s="4" t="n"/>
      <c r="E16" s="4" t="n"/>
      <c r="F16" s="4" t="n"/>
    </row>
    <row r="17">
      <c r="A17" s="14" t="inlineStr">
        <is>
          <t>Guard</t>
        </is>
      </c>
      <c r="B17" s="14" t="inlineStr">
        <is>
          <t>Status</t>
        </is>
      </c>
      <c r="C17" s="14" t="inlineStr">
        <is>
          <t>Lines named</t>
        </is>
      </c>
      <c r="D17" s="14" t="inlineStr">
        <is>
          <t>Detail</t>
        </is>
      </c>
      <c r="E17" s="14" t="inlineStr"/>
      <c r="F17" s="14" t="inlineStr"/>
    </row>
    <row r="18">
      <c r="A18" s="5" t="inlineStr">
        <is>
          <t>Contra-revenue categories net negative</t>
        </is>
      </c>
      <c r="B18" s="5" t="inlineStr">
        <is>
          <t>OK</t>
        </is>
      </c>
      <c r="C18" s="5" t="inlineStr">
        <is>
          <t>—</t>
        </is>
      </c>
      <c r="D18" s="26" t="inlineStr">
        <is>
          <t>Every contra-revenue category (Vacancy, Concessions, Non-Revenue Units, Delinquency) nets negative, as it must.</t>
        </is>
      </c>
      <c r="E18" s="12" t="n"/>
      <c r="F18" s="12" t="n"/>
    </row>
    <row r="19">
      <c r="A19" s="5" t="inlineStr">
        <is>
          <t>Total operating expenses positive</t>
        </is>
      </c>
      <c r="B19" s="5" t="inlineStr">
        <is>
          <t>OK</t>
        </is>
      </c>
      <c r="C19" s="5" t="inlineStr">
        <is>
          <t>—</t>
        </is>
      </c>
      <c r="D19" s="26" t="inlineStr">
        <is>
          <t>Total operating expenses are $2,054,908 — positive, as an expense total must be.</t>
        </is>
      </c>
      <c r="E19" s="12" t="n"/>
      <c r="F19" s="12" t="n"/>
    </row>
    <row r="20">
      <c r="A20" s="5" t="inlineStr">
        <is>
          <t>No recovery lines inside expense buckets</t>
        </is>
      </c>
      <c r="B20" s="5" t="inlineStr">
        <is>
          <t>OK</t>
        </is>
      </c>
      <c r="C20" s="5" t="inlineStr">
        <is>
          <t>—</t>
        </is>
      </c>
      <c r="D20" s="26" t="inlineStr">
        <is>
          <t>No negative line inside an expense category carries a recovery word (rebill, reimburse, recover, recapture).</t>
        </is>
      </c>
      <c r="E20" s="12" t="n"/>
      <c r="F20" s="12" t="n"/>
    </row>
    <row r="21">
      <c r="A21" s="5" t="inlineStr">
        <is>
          <t>No subtotal row counted with its members</t>
        </is>
      </c>
      <c r="B21" s="5" t="inlineStr">
        <is>
          <t>OK</t>
        </is>
      </c>
      <c r="C21" s="5" t="inlineStr">
        <is>
          <t>—</t>
        </is>
      </c>
      <c r="D21" s="26" t="inlineStr">
        <is>
          <t>No categorised row named like a subtotal (|value| ≥ $500) equals the sum of one to three rows within 25 lines of it.</t>
        </is>
      </c>
      <c r="E21" s="12" t="n"/>
      <c r="F21" s="12" t="n"/>
    </row>
    <row r="22">
      <c r="A22" s="2" t="inlineStr">
        <is>
          <t>A REVIEW here is a fact about how the statement is printed, flagged for a reader to resolve; the P&amp;L above is the statement as categorised, unflipped.</t>
        </is>
      </c>
    </row>
    <row r="24">
      <c r="A24" s="4" t="inlineStr">
        <is>
          <t>Across the two documents: statement vs rent roll</t>
        </is>
      </c>
      <c r="B24" s="4" t="n"/>
      <c r="C24" s="4" t="n"/>
      <c r="D24" s="4" t="n"/>
      <c r="E24" s="4" t="n"/>
      <c r="F24" s="4" t="n"/>
    </row>
    <row r="25">
      <c r="A25" s="14" t="inlineStr">
        <is>
          <t>Tie</t>
        </is>
      </c>
      <c r="B25" s="14" t="inlineStr">
        <is>
          <t>Statement</t>
        </is>
      </c>
      <c r="C25" s="14" t="inlineStr">
        <is>
          <t>Rent roll</t>
        </is>
      </c>
      <c r="D25" s="14" t="inlineStr">
        <is>
          <t>Gap</t>
        </is>
      </c>
      <c r="E25" s="14" t="inlineStr">
        <is>
          <t>Status</t>
        </is>
      </c>
      <c r="F25" s="14" t="inlineStr">
        <is>
          <t>Basis / why not</t>
        </is>
      </c>
    </row>
    <row r="26">
      <c r="A26" s="5" t="inlineStr">
        <is>
          <t>Gross Potential Rent vs the roll's market rent x 12</t>
        </is>
      </c>
      <c r="B26" s="7" t="n">
        <v>5827603.6</v>
      </c>
      <c r="C26" s="7" t="n">
        <v>5651856</v>
      </c>
      <c r="D26" s="11" t="n">
        <v>0.0310955551592255</v>
      </c>
      <c r="E26" s="5" t="inlineStr">
        <is>
          <t>OK</t>
        </is>
      </c>
      <c r="F26" s="5" t="inlineStr">
        <is>
          <t>statement GPR, twelve months; roll market rent, every unit, x 12</t>
        </is>
      </c>
    </row>
    <row r="27">
      <c r="A27" s="5" t="inlineStr">
        <is>
          <t>Total Revenue vs the roll's in-place rent x 12</t>
        </is>
      </c>
      <c r="B27" s="7" t="n">
        <v>6166659.01</v>
      </c>
      <c r="C27" s="7" t="n">
        <v>5472456</v>
      </c>
      <c r="D27" s="11" t="n">
        <v>0.1268540139929859</v>
      </c>
      <c r="E27" s="5" t="inlineStr">
        <is>
          <t>REVIEW</t>
        </is>
      </c>
      <c r="F27" s="5" t="inlineStr">
        <is>
          <t>statement total revenue; roll in-place rent, occupied units, x 12</t>
        </is>
      </c>
    </row>
    <row r="28">
      <c r="A28"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Sample Mesa Apt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9" customWidth="1" min="7" max="7"/>
    <col width="15" customWidth="1" min="8" max="8"/>
    <col width="10" customWidth="1" min="9" max="9"/>
    <col width="21" customWidth="1" min="10" max="10"/>
    <col width="34" customWidth="1" min="11" max="11"/>
  </cols>
  <sheetData>
    <row r="1">
      <c r="A1" s="1" t="inlineStr">
        <is>
          <t>Unit mix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7"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LEASES SIGNED rent</t>
        </is>
      </c>
      <c r="G8" s="14" t="inlineStr">
        <is>
          <t>Signed #</t>
        </is>
      </c>
      <c r="H8" s="14" t="inlineStr">
        <is>
          <t>NEW MOVE-IN rent</t>
        </is>
      </c>
      <c r="I8" s="14" t="inlineStr">
        <is>
          <t>Move-In #</t>
        </is>
      </c>
      <c r="J8" s="14" t="inlineStr">
        <is>
          <t>Market rent for model</t>
        </is>
      </c>
      <c r="K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1315.763157894737</v>
      </c>
      <c r="G9" s="7" t="n">
        <v>76</v>
      </c>
      <c r="H9" s="7" t="n">
        <v>1225.222222222222</v>
      </c>
      <c r="I9" s="7" t="n">
        <v>27</v>
      </c>
      <c r="J9" s="7" t="n">
        <v>1225.222222222222</v>
      </c>
      <c r="K9" s="5" t="inlineStr">
        <is>
          <t>New move-ins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1295.333333333333</v>
      </c>
      <c r="G10" s="7" t="n">
        <v>66</v>
      </c>
      <c r="H10" s="7" t="n">
        <v>1167.961538461539</v>
      </c>
      <c r="I10" s="7" t="n">
        <v>26</v>
      </c>
      <c r="J10" s="7" t="n">
        <v>1167.961538461539</v>
      </c>
      <c r="K10" s="5" t="inlineStr">
        <is>
          <t>New move-ins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1494.53125</v>
      </c>
      <c r="G11" s="7" t="n">
        <v>32</v>
      </c>
      <c r="H11" s="7" t="n">
        <v>1355.214285714286</v>
      </c>
      <c r="I11" s="7" t="n">
        <v>14</v>
      </c>
      <c r="J11" s="7" t="n">
        <v>1355.214285714286</v>
      </c>
      <c r="K11" s="5" t="inlineStr">
        <is>
          <t>New move-ins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1390.833333333333</v>
      </c>
      <c r="G12" s="7" t="n">
        <v>18</v>
      </c>
      <c r="H12" s="7" t="n">
        <v>1322.75</v>
      </c>
      <c r="I12" s="7" t="n">
        <v>12</v>
      </c>
      <c r="J12" s="7" t="n">
        <v>1322.75</v>
      </c>
      <c r="K12" s="5" t="inlineStr">
        <is>
          <t>New move-ins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1652.377777777778</v>
      </c>
      <c r="G13" s="7" t="n">
        <v>45</v>
      </c>
      <c r="H13" s="7" t="n">
        <v>1533.307692307692</v>
      </c>
      <c r="I13" s="7" t="n">
        <v>13</v>
      </c>
      <c r="J13" s="7" t="n">
        <v>1533.307692307692</v>
      </c>
      <c r="K13" s="5" t="inlineStr">
        <is>
          <t>New move-ins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1565.735294117647</v>
      </c>
      <c r="G14" s="7" t="n">
        <v>34</v>
      </c>
      <c r="H14" s="7" t="n">
        <v>1422.4</v>
      </c>
      <c r="I14" s="7" t="n">
        <v>15</v>
      </c>
      <c r="J14" s="7" t="n">
        <v>1422.4</v>
      </c>
      <c r="K14" s="5" t="inlineStr">
        <is>
          <t>New move-ins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1760.6</v>
      </c>
      <c r="G15" s="7" t="n">
        <v>5</v>
      </c>
      <c r="H15" s="7" t="n">
        <v>1687</v>
      </c>
      <c r="I15" s="7" t="n">
        <v>3</v>
      </c>
      <c r="J15" s="7" t="n">
        <v>1687</v>
      </c>
      <c r="K15" s="5" t="inlineStr">
        <is>
          <t>New move-ins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1915.714285714286</v>
      </c>
      <c r="G16" s="7" t="n">
        <v>7</v>
      </c>
      <c r="H16" s="7" t="n">
        <v>1853.25</v>
      </c>
      <c r="I16" s="7" t="n">
        <v>4</v>
      </c>
      <c r="J16" s="7" t="n">
        <v>1853.25</v>
      </c>
      <c r="K16" s="5" t="inlineStr">
        <is>
          <t>New move-ins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2103</v>
      </c>
      <c r="G17" s="7" t="n">
        <v>2</v>
      </c>
      <c r="H17" s="7" t="n">
        <v>1948</v>
      </c>
      <c r="I17" s="7" t="n">
        <v>1</v>
      </c>
      <c r="J17" s="7" t="n">
        <v>1948</v>
      </c>
      <c r="K17" s="5" t="inlineStr">
        <is>
          <t>New move-ins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7" t="n">
        <v>2288</v>
      </c>
      <c r="G18" s="7" t="n">
        <v>2</v>
      </c>
      <c r="H18" s="12" t="n"/>
      <c r="I18" s="7" t="n">
        <v>0</v>
      </c>
      <c r="J18" s="7" t="n">
        <v>2288</v>
      </c>
      <c r="K18" s="5" t="inlineStr">
        <is>
          <t>In-place — no new move-ins in window</t>
        </is>
      </c>
    </row>
    <row r="20">
      <c r="A20" s="19" t="n"/>
      <c r="B20" s="18" t="inlineStr">
        <is>
          <t>TOTAL</t>
        </is>
      </c>
      <c r="C20" s="20">
        <f>IFERROR(SUMPRODUCT($D$9:$D$18,$C$9:$C$18)/SUM($D$9:$D$18),"")</f>
        <v/>
      </c>
      <c r="D20" s="20">
        <f>SUM(D9:D18)</f>
        <v/>
      </c>
      <c r="E20" s="20">
        <f>IFERROR(AVERAGEIFS('RR Raw data'!$J$6:$J$339,'RR Raw data'!$F$6:$F$339,"Occupied"),"")</f>
        <v/>
      </c>
      <c r="F20" s="20">
        <f>IFERROR(SUMPRODUCT($F$9:$F$18,$G$9:$G$18)/SUM($G$9:$G$18),"")</f>
        <v/>
      </c>
      <c r="G20" s="20">
        <f>SUM(G9:G18)</f>
        <v/>
      </c>
      <c r="H20" s="20">
        <f>IFERROR(SUMPRODUCT($H$9:$H$18,$I$9:$I$18)/SUM($I$9:$I$18),"")</f>
        <v/>
      </c>
      <c r="I20" s="20">
        <f>SUM(I9:I18)</f>
        <v/>
      </c>
      <c r="J20" s="20">
        <f>IFERROR(SUMPRODUCT($D$9:$D$18,$J$9:$J$18)/SUM($D$9:$D$18),"")</f>
        <v/>
      </c>
      <c r="K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8" t="inlineStr">
        <is>
          <t>Market rent for model is the NEW MOVE-IN rent — residents whose move-in date falls inside the lookback window, whatever their lease type — where the plan has one, and the in-place average otherwise; the Basis column says which, per plan; a roll with no usable lease start or move-in date reads in-place outright. LEASES SIGNED is every classified lease started in the window, new and renewal together, and is shown for context only: a blend of new and renewal rents is a renewal average wearing a market-rent label, and on a stabilised property renewals outnumber new leases roughly three to two over twelve months.</t>
        </is>
      </c>
    </row>
    <row r="40" ht="32" customHeight="1">
      <c r="A40" s="28" t="inlineStr">
        <is>
          <t>The signed and move-in rents, their counts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Reconciliation</t>
        </is>
      </c>
      <c r="B5" s="4" t="n"/>
      <c r="C5" s="4" t="n"/>
      <c r="D5" s="4" t="n"/>
      <c r="E5" s="4" t="n"/>
      <c r="F5" s="4" t="n"/>
    </row>
    <row r="6">
      <c r="A6" s="29" t="inlineStr">
        <is>
          <t>Verdict</t>
        </is>
      </c>
      <c r="B6" s="29" t="inlineStr">
        <is>
          <t>PASS</t>
        </is>
      </c>
      <c r="C6" s="29" t="inlineStr">
        <is>
          <t>Units off by</t>
        </is>
      </c>
      <c r="D6" s="22" t="n">
        <v>0</v>
      </c>
      <c r="E6" s="29" t="inlineStr">
        <is>
          <t>Market rent off by</t>
        </is>
      </c>
      <c r="F6" s="22" t="n">
        <v>0</v>
      </c>
    </row>
    <row r="7">
      <c r="A7" s="2" t="inlineStr">
        <is>
          <t>Unit count (tolerance 0) and the export's stated market-rent total (tolerance $1), plus every duplicate row retaining the in-place lease and no rent-readback mismatch. FAIL on any; NOT CHECKED when the export states no count or no total to tie to; PASS only when everything ran and tied.</t>
        </is>
      </c>
    </row>
    <row r="9">
      <c r="A9" s="4" t="inlineStr">
        <is>
          <t>Rent-roll tie-outs</t>
        </is>
      </c>
      <c r="B9" s="4" t="n"/>
      <c r="C9" s="4" t="n"/>
      <c r="D9" s="4" t="n"/>
      <c r="E9" s="4" t="n"/>
      <c r="F9" s="4" t="n"/>
    </row>
    <row r="10">
      <c r="A10" s="14" t="inlineStr">
        <is>
          <t>Check</t>
        </is>
      </c>
      <c r="B10" s="14" t="inlineStr">
        <is>
          <t>Our calc</t>
        </is>
      </c>
      <c r="C10" s="14" t="inlineStr">
        <is>
          <t>Source</t>
        </is>
      </c>
      <c r="D10" s="14" t="inlineStr">
        <is>
          <t>Difference</t>
        </is>
      </c>
      <c r="E10" s="14" t="inlineStr">
        <is>
          <t>Status</t>
        </is>
      </c>
      <c r="F10" s="14" t="inlineStr">
        <is>
          <t>Note</t>
        </is>
      </c>
    </row>
    <row r="11">
      <c r="A11" s="5" t="inlineStr">
        <is>
          <t>Total units</t>
        </is>
      </c>
      <c r="B11" s="7" t="n">
        <v>334</v>
      </c>
      <c r="C11" s="7" t="n">
        <v>334</v>
      </c>
      <c r="D11" s="7" t="n">
        <v>0</v>
      </c>
      <c r="E11" s="5" t="inlineStr">
        <is>
          <t>OK</t>
        </is>
      </c>
      <c r="F11" s="26" t="inlineStr">
        <is>
          <t>Unit count after de-duplicating rows for units listed twice mid-turnover.</t>
        </is>
      </c>
    </row>
    <row r="12">
      <c r="A12" s="5" t="inlineStr">
        <is>
          <t>Total square feet</t>
        </is>
      </c>
      <c r="B12" s="7" t="n">
        <v>285882</v>
      </c>
      <c r="C12" s="7" t="n">
        <v>285882</v>
      </c>
      <c r="D12" s="7" t="n">
        <v>0</v>
      </c>
      <c r="E12" s="5" t="inlineStr">
        <is>
          <t>OK</t>
        </is>
      </c>
      <c r="F12" s="26" t="inlineStr">
        <is>
          <t>This project's own addition — the operator's rent-roll skill has no square-footage tie-out. It earns its place because square footage is what the de-duplication is checked against: dropping the wrong duplicate row changes the total.</t>
        </is>
      </c>
    </row>
    <row r="13">
      <c r="A13" s="5" t="inlineStr">
        <is>
          <t>Occupied units (physical)</t>
        </is>
      </c>
      <c r="B13" s="7" t="n">
        <v>313</v>
      </c>
      <c r="C13" s="7" t="n">
        <v>313</v>
      </c>
      <c r="D13" s="7" t="n">
        <v>0</v>
      </c>
      <c r="E13" s="5" t="inlineStr">
        <is>
          <t>OK</t>
        </is>
      </c>
      <c r="F13" s="26" t="inlineStr">
        <is>
          <t>Against the source's own status buckets: Occupied + Notice Available + Notice Rented. A resident on notice has not moved out, so the source's 'Occupied' bucket alone is a LEASING status, not physical occupancy.</t>
        </is>
      </c>
    </row>
    <row r="14">
      <c r="A14" s="5" t="inlineStr">
        <is>
          <t>Occupancy</t>
        </is>
      </c>
      <c r="B14" s="11" t="n">
        <v>0.937125748502994</v>
      </c>
      <c r="C14" s="11" t="n">
        <v>0.937125748502994</v>
      </c>
      <c r="D14" s="11" t="n">
        <v>0</v>
      </c>
      <c r="E14" s="5" t="inlineStr">
        <is>
          <t>OK</t>
        </is>
      </c>
      <c r="F14" s="26" t="inlineStr">
        <is>
          <t>PHYSICAL occupancy: 313 of 334 units. Residents on notice count as occupied; down, model and employee units do not. Economic occupancy is a different number and is not this one.</t>
        </is>
      </c>
    </row>
    <row r="15">
      <c r="A15" s="5" t="inlineStr">
        <is>
          <t>Market rent (monthly total)</t>
        </is>
      </c>
      <c r="B15" s="7" t="n">
        <v>470988</v>
      </c>
      <c r="C15" s="7" t="n">
        <v>470988</v>
      </c>
      <c r="D15" s="7" t="n">
        <v>0</v>
      </c>
      <c r="E15" s="5" t="inlineStr">
        <is>
          <t>OK</t>
        </is>
      </c>
      <c r="F15" s="26"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6">
      <c r="A16" s="5" t="inlineStr">
        <is>
          <t>In-place rent (monthly total)</t>
        </is>
      </c>
      <c r="B16" s="7" t="n">
        <v>457414</v>
      </c>
      <c r="C16" s="7" t="n">
        <v>488975</v>
      </c>
      <c r="D16" s="7" t="n">
        <v>-31561</v>
      </c>
      <c r="E16" s="5" t="inlineStr">
        <is>
          <t>INFO</t>
        </is>
      </c>
      <c r="F16" s="26" t="inlineStr">
        <is>
          <t>Shown for the reader, not scored: the export's current-rent total is its per-status summary, which carries a rent on model, unrentable and vacant units; in-place rent is occupied units only. The gate's rent half is the market-rent total above, which the export states on the same per-unit basis.</t>
        </is>
      </c>
    </row>
    <row r="17">
      <c r="A17" s="5" t="inlineStr">
        <is>
          <t>Duplicate rows: kept the in-place lease</t>
        </is>
      </c>
      <c r="B17" s="7" t="n">
        <v>6</v>
      </c>
      <c r="C17" s="7" t="n">
        <v>6</v>
      </c>
      <c r="D17" s="7" t="n">
        <v>0</v>
      </c>
      <c r="E17" s="5" t="inlineStr">
        <is>
          <t>OK</t>
        </is>
      </c>
      <c r="F17" s="26"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8">
      <c r="A18" s="5" t="inlineStr">
        <is>
          <t>Occupied units</t>
        </is>
      </c>
      <c r="B18" s="7" t="n">
        <v>313</v>
      </c>
      <c r="C18" s="12" t="n"/>
      <c r="D18" s="12" t="n"/>
      <c r="E18" s="5" t="inlineStr">
        <is>
          <t>INFO</t>
        </is>
      </c>
      <c r="F18" s="26" t="inlineStr">
        <is>
          <t>The numerator above, stated separately so the ratio can be re-derived.</t>
        </is>
      </c>
    </row>
    <row r="20">
      <c r="A20" s="13" t="inlineStr">
        <is>
          <t>6/6 tie-outs OK</t>
        </is>
      </c>
    </row>
    <row r="21">
      <c r="A21"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23">
      <c r="A23" s="4" t="inlineStr">
        <is>
          <t>Duplicate rows — 6 unit(s) listed twice</t>
        </is>
      </c>
      <c r="B23" s="4" t="n"/>
      <c r="C23" s="4" t="n"/>
      <c r="D23" s="4" t="n"/>
      <c r="E23" s="4" t="n"/>
      <c r="F23" s="4" t="n"/>
    </row>
    <row r="24">
      <c r="A24" s="14" t="inlineStr">
        <is>
          <t>Unit</t>
        </is>
      </c>
      <c r="B24" s="14" t="inlineStr">
        <is>
          <t>Kept row</t>
        </is>
      </c>
      <c r="C24" s="14" t="inlineStr">
        <is>
          <t>Kept status</t>
        </is>
      </c>
      <c r="D24" s="14" t="inlineStr">
        <is>
          <t>Kept rent</t>
        </is>
      </c>
      <c r="E24" s="14" t="inlineStr">
        <is>
          <t>Rows not counted</t>
        </is>
      </c>
      <c r="F24" s="14" t="inlineStr">
        <is>
          <t>Why</t>
        </is>
      </c>
    </row>
    <row r="25">
      <c r="A25" s="5" t="inlineStr">
        <is>
          <t>1060</t>
        </is>
      </c>
      <c r="B25" s="7" t="n">
        <v>64</v>
      </c>
      <c r="C25" s="5" t="inlineStr">
        <is>
          <t>Current</t>
        </is>
      </c>
      <c r="D25" s="7" t="n">
        <v>1218</v>
      </c>
      <c r="E25" s="5" t="inlineStr">
        <is>
          <t>row 63: New, $0</t>
        </is>
      </c>
      <c r="F25" s="26" t="inlineStr">
        <is>
          <t>Kept the row whose lease status is the in-place one ('Current'); the other row is the incoming lease.</t>
        </is>
      </c>
    </row>
    <row r="26">
      <c r="A26" s="5" t="inlineStr">
        <is>
          <t>1077</t>
        </is>
      </c>
      <c r="B26" s="7" t="n">
        <v>82</v>
      </c>
      <c r="C26" s="5" t="inlineStr">
        <is>
          <t>Current</t>
        </is>
      </c>
      <c r="D26" s="7" t="n">
        <v>2397</v>
      </c>
      <c r="E26" s="5" t="inlineStr">
        <is>
          <t>row 81: New, $0</t>
        </is>
      </c>
      <c r="F26" s="26" t="inlineStr">
        <is>
          <t>Kept the row whose lease status is the in-place one ('Current'); the other row is the incoming lease.</t>
        </is>
      </c>
    </row>
    <row r="27">
      <c r="A27" s="5" t="inlineStr">
        <is>
          <t>1104</t>
        </is>
      </c>
      <c r="B27" s="7" t="n">
        <v>110</v>
      </c>
      <c r="C27" s="5" t="inlineStr">
        <is>
          <t>Current</t>
        </is>
      </c>
      <c r="D27" s="7" t="n">
        <v>2067</v>
      </c>
      <c r="E27" s="5" t="inlineStr">
        <is>
          <t>row 109: New, $1,606</t>
        </is>
      </c>
      <c r="F27" s="26" t="inlineStr">
        <is>
          <t>Kept the row whose lease status is the in-place one ('Current'); the other row is the incoming lease.</t>
        </is>
      </c>
    </row>
    <row r="28">
      <c r="A28" s="5" t="inlineStr">
        <is>
          <t>1146</t>
        </is>
      </c>
      <c r="B28" s="7" t="n">
        <v>153</v>
      </c>
      <c r="C28" s="5" t="inlineStr">
        <is>
          <t>Current</t>
        </is>
      </c>
      <c r="D28" s="7" t="n">
        <v>1555</v>
      </c>
      <c r="E28" s="5" t="inlineStr">
        <is>
          <t>row 152: New, $1,255</t>
        </is>
      </c>
      <c r="F28" s="26" t="inlineStr">
        <is>
          <t>Kept the row whose lease status is the in-place one ('Current'); the other row is the incoming lease.</t>
        </is>
      </c>
    </row>
    <row r="29">
      <c r="A29" s="5" t="inlineStr">
        <is>
          <t>2021</t>
        </is>
      </c>
      <c r="B29" s="7" t="n">
        <v>197</v>
      </c>
      <c r="C29" s="5" t="inlineStr">
        <is>
          <t>Current</t>
        </is>
      </c>
      <c r="D29" s="7" t="n">
        <v>1823</v>
      </c>
      <c r="E29" s="5" t="inlineStr">
        <is>
          <t>row 196: New, $1,376</t>
        </is>
      </c>
      <c r="F29" s="26" t="inlineStr">
        <is>
          <t>Kept the row whose lease status is the in-place one ('Current'); the other row is the incoming lease.</t>
        </is>
      </c>
    </row>
    <row r="30">
      <c r="A30" s="5" t="inlineStr">
        <is>
          <t>2107</t>
        </is>
      </c>
      <c r="B30" s="7" t="n">
        <v>283</v>
      </c>
      <c r="C30" s="5" t="inlineStr">
        <is>
          <t>New</t>
        </is>
      </c>
      <c r="D30" s="7" t="n">
        <v>1376</v>
      </c>
      <c r="E30" s="5" t="inlineStr">
        <is>
          <t>row 284: no status, $0</t>
        </is>
      </c>
      <c r="F30" s="26" t="inlineStr">
        <is>
          <t>No row carries the in-place status ('Current'); kept the row with a stated rent and a status, which is the lease in place on the as-of date.</t>
        </is>
      </c>
    </row>
    <row r="32">
      <c r="A32" s="4" t="inlineStr">
        <is>
          <t>Rent readback — 10 units, sampled reproducibly</t>
        </is>
      </c>
      <c r="B32" s="4" t="n"/>
      <c r="C32" s="4" t="n"/>
      <c r="D32" s="4" t="n"/>
      <c r="E32" s="4" t="n"/>
      <c r="F32" s="4" t="n"/>
    </row>
    <row r="33">
      <c r="A33" s="14" t="inlineStr">
        <is>
          <t>Unit</t>
        </is>
      </c>
      <c r="B33" s="14" t="inlineStr">
        <is>
          <t>Plan</t>
        </is>
      </c>
      <c r="C33" s="14" t="inlineStr">
        <is>
          <t>Our in-place rent</t>
        </is>
      </c>
      <c r="D33" s="14" t="inlineStr">
        <is>
          <t>Source cell value</t>
        </is>
      </c>
      <c r="E33" s="14" t="inlineStr">
        <is>
          <t>Source locator</t>
        </is>
      </c>
      <c r="F33" s="14" t="inlineStr">
        <is>
          <t>Status</t>
        </is>
      </c>
    </row>
    <row r="34">
      <c r="A34" s="5" t="inlineStr">
        <is>
          <t>1022</t>
        </is>
      </c>
      <c r="B34" s="5" t="inlineStr">
        <is>
          <t>2X1R</t>
        </is>
      </c>
      <c r="C34" s="7" t="n">
        <v>1388</v>
      </c>
      <c r="D34" s="7" t="n">
        <v>1388</v>
      </c>
      <c r="E34" s="5" t="inlineStr">
        <is>
          <t>HG_RMOROLLE!N25</t>
        </is>
      </c>
      <c r="F34" s="5" t="inlineStr">
        <is>
          <t>OK</t>
        </is>
      </c>
    </row>
    <row r="35">
      <c r="A35" s="5" t="inlineStr">
        <is>
          <t>1027</t>
        </is>
      </c>
      <c r="B35" s="5" t="inlineStr">
        <is>
          <t>2X2R</t>
        </is>
      </c>
      <c r="C35" s="7" t="n">
        <v>1307</v>
      </c>
      <c r="D35" s="7" t="n">
        <v>1307</v>
      </c>
      <c r="E35" s="5" t="inlineStr">
        <is>
          <t>HG_RMOROLLE!N30</t>
        </is>
      </c>
      <c r="F35" s="5" t="inlineStr">
        <is>
          <t>OK</t>
        </is>
      </c>
    </row>
    <row r="36">
      <c r="A36" s="5" t="inlineStr">
        <is>
          <t>1030</t>
        </is>
      </c>
      <c r="B36" s="5" t="inlineStr">
        <is>
          <t>1X1R</t>
        </is>
      </c>
      <c r="C36" s="7" t="n">
        <v>1653</v>
      </c>
      <c r="D36" s="7" t="n">
        <v>1653</v>
      </c>
      <c r="E36" s="5" t="inlineStr">
        <is>
          <t>HG_RMOROLLE!N33</t>
        </is>
      </c>
      <c r="F36" s="5" t="inlineStr">
        <is>
          <t>OK</t>
        </is>
      </c>
    </row>
    <row r="37">
      <c r="A37" s="5" t="inlineStr">
        <is>
          <t>1041</t>
        </is>
      </c>
      <c r="B37" s="5" t="inlineStr">
        <is>
          <t>1X1</t>
        </is>
      </c>
      <c r="C37" s="7" t="n">
        <v>1224</v>
      </c>
      <c r="D37" s="7" t="n">
        <v>1224</v>
      </c>
      <c r="E37" s="5" t="inlineStr">
        <is>
          <t>HG_RMOROLLE!N44</t>
        </is>
      </c>
      <c r="F37" s="5" t="inlineStr">
        <is>
          <t>OK</t>
        </is>
      </c>
    </row>
    <row r="38">
      <c r="A38" s="5" t="inlineStr">
        <is>
          <t>1079</t>
        </is>
      </c>
      <c r="B38" s="5" t="inlineStr">
        <is>
          <t>3X2AR</t>
        </is>
      </c>
      <c r="C38" s="7" t="n">
        <v>1998</v>
      </c>
      <c r="D38" s="7" t="n">
        <v>1998</v>
      </c>
      <c r="E38" s="5" t="inlineStr">
        <is>
          <t>HG_RMOROLLE!N84</t>
        </is>
      </c>
      <c r="F38" s="5" t="inlineStr">
        <is>
          <t>OK</t>
        </is>
      </c>
    </row>
    <row r="39">
      <c r="A39" s="5" t="inlineStr">
        <is>
          <t>1100</t>
        </is>
      </c>
      <c r="B39" s="5" t="inlineStr">
        <is>
          <t>2X2R</t>
        </is>
      </c>
      <c r="C39" s="7" t="n">
        <v>1470</v>
      </c>
      <c r="D39" s="7" t="n">
        <v>1470</v>
      </c>
      <c r="E39" s="5" t="inlineStr">
        <is>
          <t>HG_RMOROLLE!N105</t>
        </is>
      </c>
      <c r="F39" s="5" t="inlineStr">
        <is>
          <t>OK</t>
        </is>
      </c>
    </row>
    <row r="40">
      <c r="A40" s="5" t="inlineStr">
        <is>
          <t>1144</t>
        </is>
      </c>
      <c r="B40" s="5" t="inlineStr">
        <is>
          <t>1X1R</t>
        </is>
      </c>
      <c r="C40" s="7" t="n">
        <v>1351</v>
      </c>
      <c r="D40" s="7" t="n">
        <v>1351</v>
      </c>
      <c r="E40" s="5" t="inlineStr">
        <is>
          <t>HG_RMOROLLE!N150</t>
        </is>
      </c>
      <c r="F40" s="5" t="inlineStr">
        <is>
          <t>OK</t>
        </is>
      </c>
    </row>
    <row r="41">
      <c r="A41" s="5" t="inlineStr">
        <is>
          <t>1158</t>
        </is>
      </c>
      <c r="B41" s="5" t="inlineStr">
        <is>
          <t>1X1R</t>
        </is>
      </c>
      <c r="C41" s="7" t="n">
        <v>1181</v>
      </c>
      <c r="D41" s="7" t="n">
        <v>1181</v>
      </c>
      <c r="E41" s="5" t="inlineStr">
        <is>
          <t>HG_RMOROLLE!N165</t>
        </is>
      </c>
      <c r="F41" s="5" t="inlineStr">
        <is>
          <t>OK</t>
        </is>
      </c>
    </row>
    <row r="42">
      <c r="A42" s="5" t="inlineStr">
        <is>
          <t>1167</t>
        </is>
      </c>
      <c r="B42" s="5" t="inlineStr">
        <is>
          <t>2X2</t>
        </is>
      </c>
      <c r="C42" s="7" t="n">
        <v>1748</v>
      </c>
      <c r="D42" s="7" t="n">
        <v>1748</v>
      </c>
      <c r="E42" s="5" t="inlineStr">
        <is>
          <t>HG_RMOROLLE!N174</t>
        </is>
      </c>
      <c r="F42" s="5" t="inlineStr">
        <is>
          <t>OK</t>
        </is>
      </c>
    </row>
    <row r="43">
      <c r="A43" s="5" t="inlineStr">
        <is>
          <t>2013</t>
        </is>
      </c>
      <c r="B43" s="5" t="inlineStr">
        <is>
          <t>2X2</t>
        </is>
      </c>
      <c r="C43" s="7" t="n">
        <v>1496</v>
      </c>
      <c r="D43" s="7" t="n">
        <v>1496</v>
      </c>
      <c r="E43" s="5" t="inlineStr">
        <is>
          <t>HG_RMOROLLE!N188</t>
        </is>
      </c>
      <c r="F43" s="5" t="inlineStr">
        <is>
          <t>OK</t>
        </is>
      </c>
    </row>
    <row r="45">
      <c r="A45" s="13" t="inlineStr">
        <is>
          <t>10 of 10 match within $0.50. Sample seeded from the roll's as-of date (2026-08-31|334), so the same roll always checks the same units and a reviewer re-running this sees these rows.</t>
        </is>
      </c>
    </row>
    <row r="46" ht="34" customHeight="1">
      <c r="A46"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9"/>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8"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8"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209</v>
      </c>
    </row>
    <row r="7">
      <c r="A7" s="13" t="inlineStr">
        <is>
          <t>Generated</t>
        </is>
      </c>
      <c r="B7" t="inlineStr">
        <is>
          <t>2026-09-14</t>
        </is>
      </c>
    </row>
    <row r="8">
      <c r="A8" s="13" t="inlineStr">
        <is>
          <t>Example column</t>
        </is>
      </c>
      <c r="B8" s="28" t="inlineStr">
        <is>
          <t>From "Sample Mesa Apt".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6" t="inlineStr">
        <is>
          <t>Name of the toolkit that produced the outputs.</t>
        </is>
      </c>
      <c r="E12" s="5" t="inlineStr">
        <is>
          <t>Derived by the pipeline</t>
        </is>
      </c>
      <c r="F12" s="26" t="inlineStr">
        <is>
          <t>Reference only — not a model input</t>
        </is>
      </c>
      <c r="G12" s="26" t="inlineStr">
        <is>
          <t>yes</t>
        </is>
      </c>
      <c r="H12" s="26" t="inlineStr">
        <is>
          <t>AI Underwriting Pipeline — Sample Outputs</t>
        </is>
      </c>
    </row>
    <row r="13">
      <c r="A13" s="5" t="inlineStr">
        <is>
          <t>Meta</t>
        </is>
      </c>
      <c r="B13" s="5" t="inlineStr">
        <is>
          <t>deal_name</t>
        </is>
      </c>
      <c r="C13" s="5" t="inlineStr">
        <is>
          <t>text</t>
        </is>
      </c>
      <c r="D13" s="26" t="inlineStr">
        <is>
          <t>Deal name used on every output.</t>
        </is>
      </c>
      <c r="E13" s="5" t="inlineStr">
        <is>
          <t>Offering memorandum / marketing package</t>
        </is>
      </c>
      <c r="F13" s="26" t="inlineStr">
        <is>
          <t>Model cover / deal header</t>
        </is>
      </c>
      <c r="G13" s="26" t="inlineStr">
        <is>
          <t>yes</t>
        </is>
      </c>
      <c r="H13" s="26" t="inlineStr">
        <is>
          <t>Sample Mesa Apt</t>
        </is>
      </c>
    </row>
    <row r="14">
      <c r="A14" s="5" t="inlineStr">
        <is>
          <t>Meta</t>
        </is>
      </c>
      <c r="B14" s="5" t="inlineStr">
        <is>
          <t>generated_on</t>
        </is>
      </c>
      <c r="C14" s="5" t="inlineStr">
        <is>
          <t>date</t>
        </is>
      </c>
      <c r="D14" s="26" t="inlineStr">
        <is>
          <t>Date the output set was produced.</t>
        </is>
      </c>
      <c r="E14" s="5" t="inlineStr">
        <is>
          <t>Derived by the pipeline</t>
        </is>
      </c>
      <c r="F14" s="26" t="inlineStr">
        <is>
          <t>Model cover date</t>
        </is>
      </c>
      <c r="G14" s="26" t="inlineStr">
        <is>
          <t>yes</t>
        </is>
      </c>
      <c r="H14" s="26" t="inlineStr">
        <is>
          <t>2026-09-14</t>
        </is>
      </c>
    </row>
    <row r="15">
      <c r="A15" s="5" t="inlineStr">
        <is>
          <t>Meta</t>
        </is>
      </c>
      <c r="B15" s="5" t="inlineStr">
        <is>
          <t>as_of_date</t>
        </is>
      </c>
      <c r="C15" s="5" t="inlineStr">
        <is>
          <t>date</t>
        </is>
      </c>
      <c r="D15" s="26" t="inlineStr">
        <is>
          <t>As-of date the financials and roll describe. Every window is measured from this date, never from today.</t>
        </is>
      </c>
      <c r="E15" s="5" t="inlineStr">
        <is>
          <t>Trailing-twelve-month income statement</t>
        </is>
      </c>
      <c r="F15" s="26" t="inlineStr">
        <is>
          <t>Model as-of / analysis date</t>
        </is>
      </c>
      <c r="G15" s="26" t="inlineStr">
        <is>
          <t>yes</t>
        </is>
      </c>
      <c r="H15" s="26" t="inlineStr">
        <is>
          <t>2026-08-31</t>
        </is>
      </c>
    </row>
    <row r="16">
      <c r="A16" s="5" t="inlineStr">
        <is>
          <t>Meta</t>
        </is>
      </c>
      <c r="B16" s="5" t="inlineStr">
        <is>
          <t>illustrative_pricing</t>
        </is>
      </c>
      <c r="C16" s="5" t="inlineStr">
        <is>
          <t>boolean</t>
        </is>
      </c>
      <c r="D16" s="26" t="inlineStr">
        <is>
          <t>True when every price and cap rate on the output is illustrative rather than a real quote.</t>
        </is>
      </c>
      <c r="E16" s="5" t="inlineStr">
        <is>
          <t>Derived by the pipeline</t>
        </is>
      </c>
      <c r="F16" s="26" t="inlineStr">
        <is>
          <t>Reference only — not a model input</t>
        </is>
      </c>
      <c r="G16" s="26" t="inlineStr">
        <is>
          <t>yes</t>
        </is>
      </c>
      <c r="H16" s="26" t="inlineStr">
        <is>
          <t>yes</t>
        </is>
      </c>
    </row>
    <row r="17">
      <c r="A17" s="5" t="inlineStr">
        <is>
          <t>Meta</t>
        </is>
      </c>
      <c r="B17" s="5" t="inlineStr">
        <is>
          <t>pricing_note</t>
        </is>
      </c>
      <c r="C17" s="5" t="inlineStr">
        <is>
          <t>text</t>
        </is>
      </c>
      <c r="D17" s="26" t="inlineStr">
        <is>
          <t>One line stating where the pricing figure came from and that it is illustrative.</t>
        </is>
      </c>
      <c r="E17" s="5" t="inlineStr">
        <is>
          <t>Derived by the pipeline</t>
        </is>
      </c>
      <c r="F17" s="26" t="inlineStr">
        <is>
          <t>Reference only — not a model input</t>
        </is>
      </c>
      <c r="G17" s="26" t="inlineStr">
        <is>
          <t>yes</t>
        </is>
      </c>
      <c r="H17" s="26"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6" t="inlineStr">
        <is>
          <t>True when the deal is entirely fabricated for demonstration.</t>
        </is>
      </c>
      <c r="E18" s="5" t="inlineStr">
        <is>
          <t>Derived by the pipeline</t>
        </is>
      </c>
      <c r="F18" s="26" t="inlineStr">
        <is>
          <t>Reference only — not a model input</t>
        </is>
      </c>
      <c r="G18" s="26" t="inlineStr">
        <is>
          <t>yes</t>
        </is>
      </c>
      <c r="H18" s="26" t="inlineStr">
        <is>
          <t>no</t>
        </is>
      </c>
    </row>
    <row r="19">
      <c r="A19" s="5" t="inlineStr">
        <is>
          <t>Meta</t>
        </is>
      </c>
      <c r="B19" s="5" t="inlineStr">
        <is>
          <t>provenance</t>
        </is>
      </c>
      <c r="C19" s="5" t="inlineStr">
        <is>
          <t>list</t>
        </is>
      </c>
      <c r="D19" s="26" t="inlineStr">
        <is>
          <t>Per-document record of what was read and what it supplied.</t>
        </is>
      </c>
      <c r="E19" s="5" t="inlineStr">
        <is>
          <t>Derived by the pipeline</t>
        </is>
      </c>
      <c r="F19" s="26" t="inlineStr">
        <is>
          <t>Reference only — not a model input</t>
        </is>
      </c>
      <c r="G19" s="26" t="inlineStr">
        <is>
          <t>yes</t>
        </is>
      </c>
      <c r="H19" s="26" t="inlineStr">
        <is>
          <t>—</t>
        </is>
      </c>
    </row>
    <row r="20">
      <c r="A20" s="5" t="inlineStr">
        <is>
          <t>Meta</t>
        </is>
      </c>
      <c r="B20" s="5" t="inlineStr">
        <is>
          <t>excluded_sources</t>
        </is>
      </c>
      <c r="C20" s="5" t="inlineStr">
        <is>
          <t>list</t>
        </is>
      </c>
      <c r="D20" s="26" t="inlineStr">
        <is>
          <t>Data sources deliberately not used, so a reader knows what a MISSING field would have needed.</t>
        </is>
      </c>
      <c r="E20" s="5" t="inlineStr">
        <is>
          <t>Derived by the pipeline</t>
        </is>
      </c>
      <c r="F20" s="26" t="inlineStr">
        <is>
          <t>Reference only — not a model input</t>
        </is>
      </c>
      <c r="G20" s="26" t="inlineStr">
        <is>
          <t>yes</t>
        </is>
      </c>
      <c r="H20" s="26"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6" t="inlineStr">
        <is>
          <t>Street address as resolved, not as printed in marketing.</t>
        </is>
      </c>
      <c r="E22" s="5" t="inlineStr">
        <is>
          <t>Offering memorandum / marketing package</t>
        </is>
      </c>
      <c r="F22" s="26" t="inlineStr">
        <is>
          <t>Property address</t>
        </is>
      </c>
      <c r="G22" s="26" t="inlineStr">
        <is>
          <t>yes</t>
        </is>
      </c>
      <c r="H22" s="26" t="inlineStr">
        <is>
          <t>2151 E Southern Ave</t>
        </is>
      </c>
    </row>
    <row r="23">
      <c r="A23" s="5" t="inlineStr">
        <is>
          <t>Deal identification</t>
        </is>
      </c>
      <c r="B23" s="5" t="inlineStr">
        <is>
          <t>city</t>
        </is>
      </c>
      <c r="C23" s="5" t="inlineStr">
        <is>
          <t>text</t>
        </is>
      </c>
      <c r="D23" s="26" t="inlineStr">
        <is>
          <t>City.</t>
        </is>
      </c>
      <c r="E23" s="5" t="inlineStr">
        <is>
          <t>Offering memorandum / marketing package</t>
        </is>
      </c>
      <c r="F23" s="26" t="inlineStr">
        <is>
          <t>Property address</t>
        </is>
      </c>
      <c r="G23" s="26" t="inlineStr">
        <is>
          <t>yes</t>
        </is>
      </c>
      <c r="H23" s="26" t="inlineStr">
        <is>
          <t>Mesa</t>
        </is>
      </c>
    </row>
    <row r="24">
      <c r="A24" s="5" t="inlineStr">
        <is>
          <t>Deal identification</t>
        </is>
      </c>
      <c r="B24" s="5" t="inlineStr">
        <is>
          <t>state</t>
        </is>
      </c>
      <c r="C24" s="5" t="inlineStr">
        <is>
          <t>text</t>
        </is>
      </c>
      <c r="D24" s="26" t="inlineStr">
        <is>
          <t>Two-letter state code. Drives the per-state tax divisor.</t>
        </is>
      </c>
      <c r="E24" s="5" t="inlineStr">
        <is>
          <t>Offering memorandum / marketing package</t>
        </is>
      </c>
      <c r="F24" s="26" t="inlineStr">
        <is>
          <t>Property address / tax logic</t>
        </is>
      </c>
      <c r="G24" s="26" t="inlineStr">
        <is>
          <t>yes</t>
        </is>
      </c>
      <c r="H24" s="26" t="inlineStr">
        <is>
          <t>AZ</t>
        </is>
      </c>
    </row>
    <row r="25">
      <c r="A25" s="5" t="inlineStr">
        <is>
          <t>Deal identification</t>
        </is>
      </c>
      <c r="B25" s="5" t="inlineStr">
        <is>
          <t>zip</t>
        </is>
      </c>
      <c r="C25" s="5" t="inlineStr">
        <is>
          <t>text</t>
        </is>
      </c>
      <c r="D25" s="26" t="inlineStr">
        <is>
          <t>ZIP code.</t>
        </is>
      </c>
      <c r="E25" s="5" t="inlineStr">
        <is>
          <t>Offering memorandum / marketing package</t>
        </is>
      </c>
      <c r="F25" s="26" t="inlineStr">
        <is>
          <t>Property address</t>
        </is>
      </c>
      <c r="G25" s="26" t="inlineStr">
        <is>
          <t>yes</t>
        </is>
      </c>
      <c r="H25" s="26" t="inlineStr">
        <is>
          <t>85204</t>
        </is>
      </c>
    </row>
    <row r="26">
      <c r="A26" s="5" t="inlineStr">
        <is>
          <t>Deal identification</t>
        </is>
      </c>
      <c r="B26" s="5" t="inlineStr">
        <is>
          <t>county</t>
        </is>
      </c>
      <c r="C26" s="5" t="inlineStr">
        <is>
          <t>text</t>
        </is>
      </c>
      <c r="D26" s="26" t="inlineStr">
        <is>
          <t>County. Determines which tax portal was queried.</t>
        </is>
      </c>
      <c r="E26" s="5" t="inlineStr">
        <is>
          <t>Offering memorandum / marketing package</t>
        </is>
      </c>
      <c r="F26" s="26" t="inlineStr">
        <is>
          <t>Tax jurisdiction</t>
        </is>
      </c>
      <c r="G26" s="26" t="inlineStr">
        <is>
          <t>yes</t>
        </is>
      </c>
      <c r="H26" s="26" t="inlineStr">
        <is>
          <t>Maricopa</t>
        </is>
      </c>
    </row>
    <row r="27">
      <c r="A27" s="5" t="inlineStr">
        <is>
          <t>Deal identification</t>
        </is>
      </c>
      <c r="B27" s="5" t="inlineStr">
        <is>
          <t>msa</t>
        </is>
      </c>
      <c r="C27" s="5" t="inlineStr">
        <is>
          <t>text</t>
        </is>
      </c>
      <c r="D27" s="26" t="inlineStr">
        <is>
          <t>Metropolitan statistical area.</t>
        </is>
      </c>
      <c r="E27" s="5" t="inlineStr">
        <is>
          <t>Derived by the pipeline</t>
        </is>
      </c>
      <c r="F27" s="26" t="inlineStr">
        <is>
          <t>Market label</t>
        </is>
      </c>
      <c r="G27" s="26" t="inlineStr">
        <is>
          <t>yes</t>
        </is>
      </c>
      <c r="H27" s="26" t="inlineStr">
        <is>
          <t>Phoenix MSA</t>
        </is>
      </c>
    </row>
    <row r="28">
      <c r="A28" s="5" t="inlineStr">
        <is>
          <t>Deal identification</t>
        </is>
      </c>
      <c r="B28" s="5" t="inlineStr">
        <is>
          <t>address_provenance</t>
        </is>
      </c>
      <c r="C28" s="5" t="inlineStr">
        <is>
          <t>text</t>
        </is>
      </c>
      <c r="D28" s="26" t="inlineStr">
        <is>
          <t>How the address was resolved and from which document — so a wrong address is traceable rather than mysterious.</t>
        </is>
      </c>
      <c r="E28" s="5" t="inlineStr">
        <is>
          <t>Derived by the pipeline</t>
        </is>
      </c>
      <c r="F28" s="26" t="inlineStr">
        <is>
          <t>Reference only — not a model input</t>
        </is>
      </c>
      <c r="G28" s="26" t="inlineStr">
        <is>
          <t>Internal pipeline only — The internal pipeline geocodes the address and records how it resolved; the demo takes the address as the memorandum states it.</t>
        </is>
      </c>
      <c r="H28" s="26" t="inlineStr">
        <is>
          <t>Illustrative address — not the asset's real location. The market tabs were pulled for this address on 2026-09-14.</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6" t="inlineStr">
        <is>
          <t>SFD, TH, or MF. Selects which underwriting shape applies.</t>
        </is>
      </c>
      <c r="E30" s="5" t="inlineStr">
        <is>
          <t>Offering memorandum / marketing package</t>
        </is>
      </c>
      <c r="F30" s="26" t="inlineStr">
        <is>
          <t>Product type / deal mode</t>
        </is>
      </c>
      <c r="G30" s="26" t="inlineStr">
        <is>
          <t>yes</t>
        </is>
      </c>
      <c r="H30" s="26" t="inlineStr">
        <is>
          <t>Garden-style multifamily</t>
        </is>
      </c>
    </row>
    <row r="31">
      <c r="A31" s="5" t="inlineStr">
        <is>
          <t>Property</t>
        </is>
      </c>
      <c r="B31" s="5" t="inlineStr">
        <is>
          <t>structure</t>
        </is>
      </c>
      <c r="C31" s="5" t="inlineStr">
        <is>
          <t>text</t>
        </is>
      </c>
      <c r="D31" s="26" t="inlineStr">
        <is>
          <t>Construction structure and stories.</t>
        </is>
      </c>
      <c r="E31" s="5" t="inlineStr">
        <is>
          <t>Offering memorandum / marketing package</t>
        </is>
      </c>
      <c r="F31" s="26" t="inlineStr">
        <is>
          <t>Property description</t>
        </is>
      </c>
      <c r="G31" s="26" t="inlineStr">
        <is>
          <t>yes</t>
        </is>
      </c>
      <c r="H31" s="26" t="inlineStr">
        <is>
          <t>1 &amp; 2 stories</t>
        </is>
      </c>
    </row>
    <row r="32">
      <c r="A32" s="5" t="inlineStr">
        <is>
          <t>Property</t>
        </is>
      </c>
      <c r="B32" s="5" t="inlineStr">
        <is>
          <t>unit_count</t>
        </is>
      </c>
      <c r="C32" s="5" t="inlineStr">
        <is>
          <t>integer</t>
        </is>
      </c>
      <c r="D32" s="26" t="inlineStr">
        <is>
          <t>Total units. Divisor for every per-unit figure in the output set.</t>
        </is>
      </c>
      <c r="E32" s="5" t="inlineStr">
        <is>
          <t>Offering memorandum / marketing package</t>
        </is>
      </c>
      <c r="F32" s="26" t="inlineStr">
        <is>
          <t>Unit count</t>
        </is>
      </c>
      <c r="G32" s="26" t="inlineStr">
        <is>
          <t>yes</t>
        </is>
      </c>
      <c r="H32" s="26" t="inlineStr">
        <is>
          <t>334</t>
        </is>
      </c>
    </row>
    <row r="33">
      <c r="A33" s="5" t="inlineStr">
        <is>
          <t>Property</t>
        </is>
      </c>
      <c r="B33" s="5" t="inlineStr">
        <is>
          <t>year_built</t>
        </is>
      </c>
      <c r="C33" s="5" t="inlineStr">
        <is>
          <t>integer</t>
        </is>
      </c>
      <c r="D33" s="26" t="inlineStr">
        <is>
          <t>Year built or year of first delivery.</t>
        </is>
      </c>
      <c r="E33" s="5" t="inlineStr">
        <is>
          <t>Offering memorandum / marketing package</t>
        </is>
      </c>
      <c r="F33" s="26" t="inlineStr">
        <is>
          <t>Year built</t>
        </is>
      </c>
      <c r="G33" s="26" t="inlineStr">
        <is>
          <t>yes</t>
        </is>
      </c>
      <c r="H33" s="26" t="inlineStr">
        <is>
          <t>1981</t>
        </is>
      </c>
    </row>
    <row r="34">
      <c r="A34" s="5" t="inlineStr">
        <is>
          <t>Property</t>
        </is>
      </c>
      <c r="B34" s="5" t="inlineStr">
        <is>
          <t>product_detail</t>
        </is>
      </c>
      <c r="C34" s="5" t="inlineStr">
        <is>
          <t>text</t>
        </is>
      </c>
      <c r="D34" s="26" t="inlineStr">
        <is>
          <t>Unit mix in prose — bedroom counts, square footage range, notable features.</t>
        </is>
      </c>
      <c r="E34" s="5" t="inlineStr">
        <is>
          <t>Offering memorandum / marketing package</t>
        </is>
      </c>
      <c r="F34" s="26" t="inlineStr">
        <is>
          <t>Property description</t>
        </is>
      </c>
      <c r="G34" s="26" t="inlineStr">
        <is>
          <t>yes</t>
        </is>
      </c>
      <c r="H34" s="26" t="inlineStr">
        <is>
          <t>Diversified mix of one-, two-, and three-bedroom residences averaging 856 square feet on approximately 15.9 acres</t>
        </is>
      </c>
    </row>
    <row r="35">
      <c r="A35" s="5" t="inlineStr">
        <is>
          <t>Property</t>
        </is>
      </c>
      <c r="B35" s="5" t="inlineStr">
        <is>
          <t>construction_status</t>
        </is>
      </c>
      <c r="C35" s="5" t="inlineStr">
        <is>
          <t>text</t>
        </is>
      </c>
      <c r="D35" s="26" t="inlineStr">
        <is>
          <t>Stabilized, in lease-up, or under construction.</t>
        </is>
      </c>
      <c r="E35" s="5" t="inlineStr">
        <is>
          <t>Offering memorandum / marketing package</t>
        </is>
      </c>
      <c r="F35" s="26" t="inlineStr">
        <is>
          <t>Deal mode (stabilized vs phased)</t>
        </is>
      </c>
      <c r="G35" s="26" t="inlineStr">
        <is>
          <t>yes</t>
        </is>
      </c>
      <c r="H35" s="26" t="inlineStr">
        <is>
          <t>MISSING</t>
        </is>
      </c>
    </row>
    <row r="36">
      <c r="A36" s="5" t="inlineStr">
        <is>
          <t>Property</t>
        </is>
      </c>
      <c r="B36" s="5" t="inlineStr">
        <is>
          <t>delivery_date</t>
        </is>
      </c>
      <c r="C36" s="5" t="inlineStr">
        <is>
          <t>text</t>
        </is>
      </c>
      <c r="D36" s="26" t="inlineStr">
        <is>
          <t>Certificate-of-occupancy or final-delivery date.</t>
        </is>
      </c>
      <c r="E36" s="5" t="inlineStr">
        <is>
          <t>Offering memorandum / marketing package</t>
        </is>
      </c>
      <c r="F36" s="26" t="inlineStr">
        <is>
          <t>Delivery / phasing schedule</t>
        </is>
      </c>
      <c r="G36" s="26" t="inlineStr">
        <is>
          <t>yes</t>
        </is>
      </c>
      <c r="H36" s="26"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6" t="inlineStr">
        <is>
          <t>Selling entity as named in the marketing package.</t>
        </is>
      </c>
      <c r="E38" s="5" t="inlineStr">
        <is>
          <t>Offering memorandum / marketing package</t>
        </is>
      </c>
      <c r="F38" s="26" t="inlineStr">
        <is>
          <t>Seller</t>
        </is>
      </c>
      <c r="G38" s="26" t="inlineStr">
        <is>
          <t>yes</t>
        </is>
      </c>
      <c r="H38" s="26" t="inlineStr">
        <is>
          <t>Sonoran Residential Holdings LLC</t>
        </is>
      </c>
    </row>
    <row r="39">
      <c r="A39" s="5" t="inlineStr">
        <is>
          <t>Parties</t>
        </is>
      </c>
      <c r="B39" s="5" t="inlineStr">
        <is>
          <t>listing_brokerage</t>
        </is>
      </c>
      <c r="C39" s="5" t="inlineStr">
        <is>
          <t>text</t>
        </is>
      </c>
      <c r="D39" s="26" t="inlineStr">
        <is>
          <t>Listing brokerage, generically labeled. No firm or individual name appears in a published file.</t>
        </is>
      </c>
      <c r="E39" s="5" t="inlineStr">
        <is>
          <t>Offering memorandum / marketing package</t>
        </is>
      </c>
      <c r="F39" s="26" t="inlineStr">
        <is>
          <t>Broker</t>
        </is>
      </c>
      <c r="G39" s="26" t="inlineStr">
        <is>
          <t>yes</t>
        </is>
      </c>
      <c r="H39" s="26" t="inlineStr">
        <is>
          <t>Desert Ridge Capital Advisors</t>
        </is>
      </c>
    </row>
    <row r="40">
      <c r="A40" s="5" t="inlineStr">
        <is>
          <t>Parties</t>
        </is>
      </c>
      <c r="B40" s="5" t="inlineStr">
        <is>
          <t>deal_status</t>
        </is>
      </c>
      <c r="C40" s="5" t="inlineStr">
        <is>
          <t>text</t>
        </is>
      </c>
      <c r="D40" s="26" t="inlineStr">
        <is>
          <t>Where the deal sits — marketed, call for offers, under contract.</t>
        </is>
      </c>
      <c r="E40" s="5" t="inlineStr">
        <is>
          <t>Offering memorandum / marketing package</t>
        </is>
      </c>
      <c r="F40" s="26" t="inlineStr">
        <is>
          <t>Deal status</t>
        </is>
      </c>
      <c r="G40" s="26" t="inlineStr">
        <is>
          <t>yes</t>
        </is>
      </c>
      <c r="H40" s="26"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6" t="inlineStr">
        <is>
          <t>Pricing guidance in prose. Illustrative in every published output.</t>
        </is>
      </c>
      <c r="E42" s="5" t="inlineStr">
        <is>
          <t>Supplied by the operator</t>
        </is>
      </c>
      <c r="F42" s="26" t="inlineStr">
        <is>
          <t>Purchase price assumption</t>
        </is>
      </c>
      <c r="G42" s="26" t="inlineStr">
        <is>
          <t>yes</t>
        </is>
      </c>
      <c r="H42" s="26" t="inlineStr">
        <is>
          <t>$215,000 per unit (illustrative)</t>
        </is>
      </c>
    </row>
    <row r="43">
      <c r="A43" s="5" t="inlineStr">
        <is>
          <t>Pricing</t>
        </is>
      </c>
      <c r="B43" s="5" t="inlineStr">
        <is>
          <t>price_per_unit</t>
        </is>
      </c>
      <c r="C43" s="5" t="inlineStr">
        <is>
          <t>currency</t>
        </is>
      </c>
      <c r="D43" s="26" t="inlineStr">
        <is>
          <t>Price per unit. Sanity-banded to 50,000–600,000; a figure outside that band is income, capex, a fee, or a typo, not a price.</t>
        </is>
      </c>
      <c r="E43" s="5" t="inlineStr">
        <is>
          <t>Supplied by the operator</t>
        </is>
      </c>
      <c r="F43" s="26" t="inlineStr">
        <is>
          <t>Purchase price per unit</t>
        </is>
      </c>
      <c r="G43" s="26" t="inlineStr">
        <is>
          <t>yes</t>
        </is>
      </c>
      <c r="H43" s="26" t="inlineStr">
        <is>
          <t>$215,000</t>
        </is>
      </c>
    </row>
    <row r="44">
      <c r="A44" s="5" t="inlineStr">
        <is>
          <t>Pricing</t>
        </is>
      </c>
      <c r="B44" s="5" t="inlineStr">
        <is>
          <t>document_price_per_unit</t>
        </is>
      </c>
      <c r="C44" s="5" t="inlineStr">
        <is>
          <t>currency</t>
        </is>
      </c>
      <c r="D44" s="26"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6" t="inlineStr">
        <is>
          <t>Pricing guidance (memorandum), for comparison</t>
        </is>
      </c>
      <c r="G44" s="26" t="inlineStr">
        <is>
          <t>yes</t>
        </is>
      </c>
      <c r="H44" s="26" t="inlineStr">
        <is>
          <t>—</t>
        </is>
      </c>
    </row>
    <row r="45">
      <c r="A45" s="5" t="inlineStr">
        <is>
          <t>Pricing</t>
        </is>
      </c>
      <c r="B45" s="5" t="inlineStr">
        <is>
          <t>total_price</t>
        </is>
      </c>
      <c r="C45" s="5" t="inlineStr">
        <is>
          <t>currency</t>
        </is>
      </c>
      <c r="D45" s="26" t="inlineStr">
        <is>
          <t>Price per unit times unit count.</t>
        </is>
      </c>
      <c r="E45" s="5" t="inlineStr">
        <is>
          <t>Derived by the pipeline</t>
        </is>
      </c>
      <c r="F45" s="26" t="inlineStr">
        <is>
          <t>Purchase price</t>
        </is>
      </c>
      <c r="G45" s="26" t="inlineStr">
        <is>
          <t>yes</t>
        </is>
      </c>
      <c r="H45" s="26" t="inlineStr">
        <is>
          <t>—</t>
        </is>
      </c>
    </row>
    <row r="46">
      <c r="A46" s="5" t="inlineStr">
        <is>
          <t>Pricing</t>
        </is>
      </c>
      <c r="B46" s="5" t="inlineStr">
        <is>
          <t>t12_cap_rate</t>
        </is>
      </c>
      <c r="C46" s="5" t="inlineStr">
        <is>
          <t>percent</t>
        </is>
      </c>
      <c r="D46" s="26" t="inlineStr">
        <is>
          <t>Trailing-twelve NOI divided by total price.</t>
        </is>
      </c>
      <c r="E46" s="5" t="inlineStr">
        <is>
          <t>Derived by the pipeline</t>
        </is>
      </c>
      <c r="F46" s="26" t="inlineStr">
        <is>
          <t>Going-in cap rate (T-12 basis)</t>
        </is>
      </c>
      <c r="G46" s="26" t="inlineStr">
        <is>
          <t>yes</t>
        </is>
      </c>
      <c r="H46" s="26" t="inlineStr">
        <is>
          <t>—</t>
        </is>
      </c>
    </row>
    <row r="47">
      <c r="A47" s="5" t="inlineStr">
        <is>
          <t>Pricing</t>
        </is>
      </c>
      <c r="B47" s="5" t="inlineStr">
        <is>
          <t>t3_cap_rate</t>
        </is>
      </c>
      <c r="C47" s="5" t="inlineStr">
        <is>
          <t>percent</t>
        </is>
      </c>
      <c r="D47" s="26" t="inlineStr">
        <is>
          <t>Annualized trailing-three NOI divided by total price.</t>
        </is>
      </c>
      <c r="E47" s="5" t="inlineStr">
        <is>
          <t>Derived by the pipeline</t>
        </is>
      </c>
      <c r="F47" s="26" t="inlineStr">
        <is>
          <t>Going-in cap rate (T-3 basis)</t>
        </is>
      </c>
      <c r="G47" s="26" t="inlineStr">
        <is>
          <t>yes</t>
        </is>
      </c>
      <c r="H47" s="26" t="inlineStr">
        <is>
          <t>—</t>
        </is>
      </c>
    </row>
    <row r="48">
      <c r="A48" s="5" t="inlineStr">
        <is>
          <t>Pricing</t>
        </is>
      </c>
      <c r="B48" s="5" t="inlineStr">
        <is>
          <t>broker_proforma_noi</t>
        </is>
      </c>
      <c r="C48" s="5" t="inlineStr">
        <is>
          <t>currency</t>
        </is>
      </c>
      <c r="D48" s="26" t="inlineStr">
        <is>
          <t>NOI from the broker's pro forma, when one was supplied. Kept in its own column, never merged into the T-12.</t>
        </is>
      </c>
      <c r="E48" s="5" t="inlineStr">
        <is>
          <t>Offering memorandum / marketing package</t>
        </is>
      </c>
      <c r="F48" s="26" t="inlineStr">
        <is>
          <t>Broker pro forma column</t>
        </is>
      </c>
      <c r="G48" s="26" t="inlineStr">
        <is>
          <t>yes</t>
        </is>
      </c>
      <c r="H48" s="26"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6" t="inlineStr">
        <is>
          <t>Weighted average in-place rent across occupied units.</t>
        </is>
      </c>
      <c r="E50" s="5" t="inlineStr">
        <is>
          <t>Rent roll export</t>
        </is>
      </c>
      <c r="F50" s="26" t="inlineStr">
        <is>
          <t>In-place rent</t>
        </is>
      </c>
      <c r="G50" s="26" t="inlineStr">
        <is>
          <t>yes</t>
        </is>
      </c>
      <c r="H50" s="26" t="inlineStr">
        <is>
          <t>$1,457</t>
        </is>
      </c>
    </row>
    <row r="51">
      <c r="A51" s="5" t="inlineStr">
        <is>
          <t>Rents</t>
        </is>
      </c>
      <c r="B51" s="5" t="inlineStr">
        <is>
          <t>market_rent_for_model</t>
        </is>
      </c>
      <c r="C51" s="5" t="inlineStr">
        <is>
          <t>currency</t>
        </is>
      </c>
      <c r="D51" s="26" t="inlineStr">
        <is>
          <t>The rent to underwrite: new move-in rent (residents who moved in inside the lookback window, by move-in date) where the plan has one, otherwise in-place. Requires a usable lease start AND move-in date on the roll; without either it is in-place outright. Never a blend of new and renewal.</t>
        </is>
      </c>
      <c r="E51" s="5" t="inlineStr">
        <is>
          <t>Derived by the pipeline</t>
        </is>
      </c>
      <c r="F51" s="26" t="inlineStr">
        <is>
          <t>Market rent / unit-mix rent</t>
        </is>
      </c>
      <c r="G51" s="26" t="inlineStr">
        <is>
          <t>yes</t>
        </is>
      </c>
      <c r="H51" s="26" t="inlineStr">
        <is>
          <t>$1,345</t>
        </is>
      </c>
    </row>
    <row r="52">
      <c r="A52" s="5" t="inlineStr">
        <is>
          <t>Rents</t>
        </is>
      </c>
      <c r="B52" s="5" t="inlineStr">
        <is>
          <t>fair_market_value</t>
        </is>
      </c>
      <c r="C52" s="5" t="inlineStr">
        <is>
          <t>currency</t>
        </is>
      </c>
      <c r="D52" s="26"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6" t="inlineStr">
        <is>
          <t>Valuation cross-check</t>
        </is>
      </c>
      <c r="G52" s="26" t="inlineStr">
        <is>
          <t>Internal pipeline only — The internal pipeline pulls a market value by web lookup; the demo does not reach the web.</t>
        </is>
      </c>
      <c r="H52" s="26"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6" t="inlineStr">
        <is>
          <t>Millage as actually billed, not a statutory or blended rate.</t>
        </is>
      </c>
      <c r="E54" s="5" t="inlineStr">
        <is>
          <t>County tax portal</t>
        </is>
      </c>
      <c r="F54" s="26" t="inlineStr">
        <is>
          <t>Property tax rate</t>
        </is>
      </c>
      <c r="G54" s="26" t="inlineStr">
        <is>
          <t>yes</t>
        </is>
      </c>
      <c r="H54" s="26" t="inlineStr">
        <is>
          <t>1,025.7%</t>
        </is>
      </c>
    </row>
    <row r="55">
      <c r="A55" s="5" t="inlineStr">
        <is>
          <t>Taxes</t>
        </is>
      </c>
      <c r="B55" s="5" t="inlineStr">
        <is>
          <t>tax_rate_evidence</t>
        </is>
      </c>
      <c r="C55" s="5" t="inlineStr">
        <is>
          <t>text</t>
        </is>
      </c>
      <c r="D55" s="26" t="inlineStr">
        <is>
          <t>What was read and from where. Reads MISSING when the portal returned nothing — a visible hole beats a plausible guess.</t>
        </is>
      </c>
      <c r="E55" s="5" t="inlineStr">
        <is>
          <t>County tax portal</t>
        </is>
      </c>
      <c r="F55" s="26" t="inlineStr">
        <is>
          <t>Reference only — not a model input</t>
        </is>
      </c>
      <c r="G55" s="26" t="inlineStr">
        <is>
          <t>yes</t>
        </is>
      </c>
      <c r="H55" s="26"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6" t="inlineStr">
        <is>
          <t>Value the assessment is computed against.</t>
        </is>
      </c>
      <c r="E56" s="5" t="inlineStr">
        <is>
          <t>County tax portal</t>
        </is>
      </c>
      <c r="F56" s="26" t="inlineStr">
        <is>
          <t>Tax basis</t>
        </is>
      </c>
      <c r="G56" s="26" t="inlineStr">
        <is>
          <t>Internal pipeline only — See parcel: read off the county assessor's portal by the internal pipeline only.</t>
        </is>
      </c>
      <c r="H56" s="26" t="inlineStr">
        <is>
          <t>MISSING</t>
        </is>
      </c>
    </row>
    <row r="57">
      <c r="A57" s="5" t="inlineStr">
        <is>
          <t>Taxes</t>
        </is>
      </c>
      <c r="B57" s="5" t="inlineStr">
        <is>
          <t>assessment_ratio</t>
        </is>
      </c>
      <c r="C57" s="5" t="inlineStr">
        <is>
          <t>percent</t>
        </is>
      </c>
      <c r="D57" s="26" t="inlineStr">
        <is>
          <t>Share of value that is assessed.</t>
        </is>
      </c>
      <c r="E57" s="5" t="inlineStr">
        <is>
          <t>County tax portal</t>
        </is>
      </c>
      <c r="F57" s="26" t="inlineStr">
        <is>
          <t>Tax inputs</t>
        </is>
      </c>
      <c r="G57" s="26" t="inlineStr">
        <is>
          <t>yes</t>
        </is>
      </c>
      <c r="H57" s="26" t="inlineStr">
        <is>
          <t>10.0%</t>
        </is>
      </c>
    </row>
    <row r="58">
      <c r="A58" s="5" t="inlineStr">
        <is>
          <t>Taxes</t>
        </is>
      </c>
      <c r="B58" s="5" t="inlineStr">
        <is>
          <t>tax_divisor</t>
        </is>
      </c>
      <c r="C58" s="5" t="inlineStr">
        <is>
          <t>number</t>
        </is>
      </c>
      <c r="D58" s="26" t="inlineStr">
        <is>
          <t>Per-state divisor converting millage to a rate.</t>
        </is>
      </c>
      <c r="E58" s="5" t="inlineStr">
        <is>
          <t>County tax portal</t>
        </is>
      </c>
      <c r="F58" s="26" t="inlineStr">
        <is>
          <t>Tax inputs</t>
        </is>
      </c>
      <c r="G58" s="26" t="inlineStr">
        <is>
          <t>yes</t>
        </is>
      </c>
      <c r="H58" s="26" t="inlineStr">
        <is>
          <t>100</t>
        </is>
      </c>
    </row>
    <row r="59">
      <c r="A59" s="5" t="inlineStr">
        <is>
          <t>Taxes</t>
        </is>
      </c>
      <c r="B59" s="5" t="inlineStr">
        <is>
          <t>tax_exemption</t>
        </is>
      </c>
      <c r="C59" s="5" t="inlineStr">
        <is>
          <t>currency</t>
        </is>
      </c>
      <c r="D59" s="26" t="inlineStr">
        <is>
          <t>Exemption applied against the computed bill.</t>
        </is>
      </c>
      <c r="E59" s="5" t="inlineStr">
        <is>
          <t>County tax portal</t>
        </is>
      </c>
      <c r="F59" s="26" t="inlineStr">
        <is>
          <t>Tax inputs</t>
        </is>
      </c>
      <c r="G59" s="26" t="inlineStr">
        <is>
          <t>Internal pipeline only — See parcel: read off the county assessor's portal by the internal pipeline only.</t>
        </is>
      </c>
      <c r="H59" s="26" t="inlineStr">
        <is>
          <t>MISSING</t>
        </is>
      </c>
    </row>
    <row r="60">
      <c r="A60" s="5" t="inlineStr">
        <is>
          <t>Taxes</t>
        </is>
      </c>
      <c r="B60" s="5" t="inlineStr">
        <is>
          <t>tax_parcel_id</t>
        </is>
      </c>
      <c r="C60" s="5" t="inlineStr">
        <is>
          <t>text</t>
        </is>
      </c>
      <c r="D60" s="26" t="inlineStr">
        <is>
          <t>Assessor parcel number the bill is issued against. A tax figure that cannot name its parcel cannot be checked.</t>
        </is>
      </c>
      <c r="E60" s="5" t="inlineStr">
        <is>
          <t>County tax portal</t>
        </is>
      </c>
      <c r="F60" s="26" t="inlineStr">
        <is>
          <t>Tax evidence</t>
        </is>
      </c>
      <c r="G60" s="26" t="inlineStr">
        <is>
          <t>Internal pipeline only — The internal pipeline reads the parcel, tax district, assessed value, exemption and billed amount off the county assessor's portal; the demo shows the county's published rate only.</t>
        </is>
      </c>
      <c r="H60" s="26" t="inlineStr">
        <is>
          <t>301-04-002K</t>
        </is>
      </c>
    </row>
    <row r="61">
      <c r="A61" s="5" t="inlineStr">
        <is>
          <t>Taxes</t>
        </is>
      </c>
      <c r="B61" s="5" t="inlineStr">
        <is>
          <t>tax_area_code</t>
        </is>
      </c>
      <c r="C61" s="5" t="inlineStr">
        <is>
          <t>text</t>
        </is>
      </c>
      <c r="D61" s="26" t="inlineStr">
        <is>
          <t>Tax area / district code, which selects the published rate row that applies.</t>
        </is>
      </c>
      <c r="E61" s="5" t="inlineStr">
        <is>
          <t>County tax portal</t>
        </is>
      </c>
      <c r="F61" s="26" t="inlineStr">
        <is>
          <t>Tax evidence</t>
        </is>
      </c>
      <c r="G61" s="26" t="inlineStr">
        <is>
          <t>Internal pipeline only — See parcel: read off the county assessor's portal by the internal pipeline only.</t>
        </is>
      </c>
      <c r="H61" s="26" t="inlineStr">
        <is>
          <t>MISSING</t>
        </is>
      </c>
    </row>
    <row r="62">
      <c r="A62" s="5" t="inlineStr">
        <is>
          <t>Taxes</t>
        </is>
      </c>
      <c r="B62" s="5" t="inlineStr">
        <is>
          <t>tax_basis_label</t>
        </is>
      </c>
      <c r="C62" s="5" t="inlineStr">
        <is>
          <t>text</t>
        </is>
      </c>
      <c r="D62" s="26" t="inlineStr">
        <is>
          <t>What the assessed basis IS in that state — a limited value, a market value, an appraised value. The word matters because only some of them reset on sale.</t>
        </is>
      </c>
      <c r="E62" s="5" t="inlineStr">
        <is>
          <t>County tax portal</t>
        </is>
      </c>
      <c r="F62" s="26" t="inlineStr">
        <is>
          <t>Tax inputs</t>
        </is>
      </c>
      <c r="G62" s="26" t="inlineStr">
        <is>
          <t>yes</t>
        </is>
      </c>
      <c r="H62" s="26" t="inlineStr">
        <is>
          <t>Limited property value (LPV), per the county assessor</t>
        </is>
      </c>
    </row>
    <row r="63">
      <c r="A63" s="5" t="inlineStr">
        <is>
          <t>Taxes</t>
        </is>
      </c>
      <c r="B63" s="5" t="inlineStr">
        <is>
          <t>tax_basis_note</t>
        </is>
      </c>
      <c r="C63" s="5" t="inlineStr">
        <is>
          <t>text</t>
        </is>
      </c>
      <c r="D63" s="26" t="inlineStr">
        <is>
          <t>How that basis behaves on a sale. Where a state caps growth and does not reset on transfer, pricing tax off the purchase price overstates it badly.</t>
        </is>
      </c>
      <c r="E63" s="5" t="inlineStr">
        <is>
          <t>County tax portal</t>
        </is>
      </c>
      <c r="F63" s="26" t="inlineStr">
        <is>
          <t>Tax inputs</t>
        </is>
      </c>
      <c r="G63" s="26" t="inlineStr">
        <is>
          <t>yes</t>
        </is>
      </c>
      <c r="H63" s="26"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6" t="inlineStr">
        <is>
          <t>The tax the county actually billed, for the year stated — the figure the computed tax is checked against.</t>
        </is>
      </c>
      <c r="E64" s="5" t="inlineStr">
        <is>
          <t>County tax portal</t>
        </is>
      </c>
      <c r="F64" s="26" t="inlineStr">
        <is>
          <t>Tax evidence</t>
        </is>
      </c>
      <c r="G64" s="26" t="inlineStr">
        <is>
          <t>Internal pipeline only — See parcel: read off the county assessor's portal by the internal pipeline only.</t>
        </is>
      </c>
      <c r="H64" s="26" t="inlineStr">
        <is>
          <t>$249,122</t>
        </is>
      </c>
    </row>
    <row r="65">
      <c r="A65" s="5" t="inlineStr">
        <is>
          <t>Taxes</t>
        </is>
      </c>
      <c r="B65" s="5" t="inlineStr">
        <is>
          <t>tax_billed_year</t>
        </is>
      </c>
      <c r="C65" s="5" t="inlineStr">
        <is>
          <t>integer</t>
        </is>
      </c>
      <c r="D65" s="26" t="inlineStr">
        <is>
          <t>Tax year of the billed figure.</t>
        </is>
      </c>
      <c r="E65" s="5" t="inlineStr">
        <is>
          <t>County tax portal</t>
        </is>
      </c>
      <c r="F65" s="26" t="inlineStr">
        <is>
          <t>Tax evidence</t>
        </is>
      </c>
      <c r="G65" s="26" t="inlineStr">
        <is>
          <t>Internal pipeline only — See parcel: read off the county assessor's portal by the internal pipeline only.</t>
        </is>
      </c>
      <c r="H65" s="26" t="inlineStr">
        <is>
          <t>2025</t>
        </is>
      </c>
    </row>
    <row r="66">
      <c r="A66" s="5" t="inlineStr">
        <is>
          <t>Taxes</t>
        </is>
      </c>
      <c r="B66" s="5" t="inlineStr">
        <is>
          <t>computed_annual_tax</t>
        </is>
      </c>
      <c r="C66" s="5" t="inlineStr">
        <is>
          <t>currency</t>
        </is>
      </c>
      <c r="D66" s="26" t="inlineStr">
        <is>
          <t>Basis times ratio over divisor times rate, less exemption.</t>
        </is>
      </c>
      <c r="E66" s="5" t="inlineStr">
        <is>
          <t>Derived by the pipeline</t>
        </is>
      </c>
      <c r="F66" s="26" t="inlineStr">
        <is>
          <t>Property tax expense</t>
        </is>
      </c>
      <c r="G66" s="26" t="inlineStr">
        <is>
          <t>yes</t>
        </is>
      </c>
      <c r="H66" s="26" t="inlineStr">
        <is>
          <t>—</t>
        </is>
      </c>
    </row>
    <row r="67">
      <c r="A67" s="5" t="inlineStr">
        <is>
          <t>Taxes</t>
        </is>
      </c>
      <c r="B67" s="5" t="inlineStr">
        <is>
          <t>computed_tax_per_unit</t>
        </is>
      </c>
      <c r="C67" s="5" t="inlineStr">
        <is>
          <t>currency</t>
        </is>
      </c>
      <c r="D67" s="26" t="inlineStr">
        <is>
          <t>Computed annual tax divided by unit count.</t>
        </is>
      </c>
      <c r="E67" s="5" t="inlineStr">
        <is>
          <t>Derived by the pipeline</t>
        </is>
      </c>
      <c r="F67" s="26" t="inlineStr">
        <is>
          <t>Property tax per unit</t>
        </is>
      </c>
      <c r="G67" s="26" t="inlineStr">
        <is>
          <t>yes</t>
        </is>
      </c>
      <c r="H67" s="26"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6" t="inlineStr">
        <is>
          <t>State whose statutes the closing costs are computed under. Cross-checked against the property's own state.</t>
        </is>
      </c>
      <c r="E69" s="5" t="inlineStr">
        <is>
          <t>Derived by the pipeline</t>
        </is>
      </c>
      <c r="F69" s="26" t="inlineStr">
        <is>
          <t>Closing cost assumptions</t>
        </is>
      </c>
      <c r="G69" s="26" t="inlineStr">
        <is>
          <t>yes</t>
        </is>
      </c>
      <c r="H69" s="26" t="inlineStr">
        <is>
          <t>AZ</t>
        </is>
      </c>
    </row>
    <row r="70">
      <c r="A70" s="5" t="inlineStr">
        <is>
          <t>Closing costs</t>
        </is>
      </c>
      <c r="B70" s="5" t="inlineStr">
        <is>
          <t>closing_price</t>
        </is>
      </c>
      <c r="C70" s="5" t="inlineStr">
        <is>
          <t>currency</t>
        </is>
      </c>
      <c r="D70" s="26" t="inlineStr">
        <is>
          <t>Consideration the transfer tax is computed on: price per unit times unit count.</t>
        </is>
      </c>
      <c r="E70" s="5" t="inlineStr">
        <is>
          <t>Derived by the pipeline</t>
        </is>
      </c>
      <c r="F70" s="26" t="inlineStr">
        <is>
          <t>Closing cost assumptions</t>
        </is>
      </c>
      <c r="G70" s="26" t="inlineStr">
        <is>
          <t>yes</t>
        </is>
      </c>
      <c r="H70" s="26" t="inlineStr">
        <is>
          <t>$71,810,000</t>
        </is>
      </c>
    </row>
    <row r="71">
      <c r="A71" s="5" t="inlineStr">
        <is>
          <t>Closing costs</t>
        </is>
      </c>
      <c r="B71" s="5" t="inlineStr">
        <is>
          <t>loan_amount</t>
        </is>
      </c>
      <c r="C71" s="5" t="inlineStr">
        <is>
          <t>currency</t>
        </is>
      </c>
      <c r="D71" s="26" t="inlineStr">
        <is>
          <t>Loan the mortgage or recording tax is computed on. Absent, that tax is reported as not asserted rather than inferred from the price.</t>
        </is>
      </c>
      <c r="E71" s="5" t="inlineStr">
        <is>
          <t>Supplied by the operator</t>
        </is>
      </c>
      <c r="F71" s="26" t="inlineStr">
        <is>
          <t>Debt assumptions</t>
        </is>
      </c>
      <c r="G71" s="26" t="inlineStr">
        <is>
          <t>yes</t>
        </is>
      </c>
      <c r="H71" s="26" t="inlineStr">
        <is>
          <t>—</t>
        </is>
      </c>
    </row>
    <row r="72">
      <c r="A72" s="5" t="inlineStr">
        <is>
          <t>Closing costs</t>
        </is>
      </c>
      <c r="B72" s="5" t="inlineStr">
        <is>
          <t>transfer_tax_amount</t>
        </is>
      </c>
      <c r="C72" s="5" t="inlineStr">
        <is>
          <t>currency</t>
        </is>
      </c>
      <c r="D72" s="26" t="inlineStr">
        <is>
          <t>State or county real-estate transfer tax at the stated price.</t>
        </is>
      </c>
      <c r="E72" s="5" t="inlineStr">
        <is>
          <t>Derived by the pipeline</t>
        </is>
      </c>
      <c r="F72" s="26" t="inlineStr">
        <is>
          <t>Closing costs</t>
        </is>
      </c>
      <c r="G72" s="26" t="inlineStr">
        <is>
          <t>yes</t>
        </is>
      </c>
      <c r="H72" s="26" t="inlineStr">
        <is>
          <t>$0</t>
        </is>
      </c>
    </row>
    <row r="73">
      <c r="A73" s="5" t="inlineStr">
        <is>
          <t>Closing costs</t>
        </is>
      </c>
      <c r="B73" s="5" t="inlineStr">
        <is>
          <t>transfer_tax_rate</t>
        </is>
      </c>
      <c r="C73" s="5" t="inlineStr">
        <is>
          <t>text</t>
        </is>
      </c>
      <c r="D73" s="26" t="inlineStr">
        <is>
          <t>The rate applied, as the statute expresses it.</t>
        </is>
      </c>
      <c r="E73" s="5" t="inlineStr">
        <is>
          <t>Derived by the pipeline</t>
        </is>
      </c>
      <c r="F73" s="26" t="inlineStr">
        <is>
          <t>Closing costs</t>
        </is>
      </c>
      <c r="G73" s="26" t="inlineStr">
        <is>
          <t>yes</t>
        </is>
      </c>
      <c r="H73" s="26" t="inlineStr">
        <is>
          <t>No real-estate transfer tax</t>
        </is>
      </c>
    </row>
    <row r="74">
      <c r="A74" s="5" t="inlineStr">
        <is>
          <t>Closing costs</t>
        </is>
      </c>
      <c r="B74" s="5" t="inlineStr">
        <is>
          <t>transfer_tax_citation</t>
        </is>
      </c>
      <c r="C74" s="5" t="inlineStr">
        <is>
          <t>text</t>
        </is>
      </c>
      <c r="D74" s="26" t="inlineStr">
        <is>
          <t>Statute or revenue-department authority for the rate — including where the authority is that no such tax exists.</t>
        </is>
      </c>
      <c r="E74" s="5" t="inlineStr">
        <is>
          <t>Derived by the pipeline</t>
        </is>
      </c>
      <c r="F74" s="26" t="inlineStr">
        <is>
          <t>Reference only — not a model input</t>
        </is>
      </c>
      <c r="G74" s="26" t="inlineStr">
        <is>
          <t>yes</t>
        </is>
      </c>
      <c r="H74" s="26" t="inlineStr">
        <is>
          <t>Ariz. Const. art. IX, sec. 24 (Prop 100, 2008)</t>
        </is>
      </c>
    </row>
    <row r="75">
      <c r="A75" s="5" t="inlineStr">
        <is>
          <t>Closing costs</t>
        </is>
      </c>
      <c r="B75" s="5" t="inlineStr">
        <is>
          <t>mortgage_tax_amount</t>
        </is>
      </c>
      <c r="C75" s="5" t="inlineStr">
        <is>
          <t>currency</t>
        </is>
      </c>
      <c r="D75" s="26" t="inlineStr">
        <is>
          <t>Mortgage, intangible or recording tax on the security instrument, computed on the loan.</t>
        </is>
      </c>
      <c r="E75" s="5" t="inlineStr">
        <is>
          <t>Derived by the pipeline</t>
        </is>
      </c>
      <c r="F75" s="26" t="inlineStr">
        <is>
          <t>Closing costs</t>
        </is>
      </c>
      <c r="G75" s="26" t="inlineStr">
        <is>
          <t>yes</t>
        </is>
      </c>
      <c r="H75" s="26" t="inlineStr">
        <is>
          <t>$0</t>
        </is>
      </c>
    </row>
    <row r="76">
      <c r="A76" s="5" t="inlineStr">
        <is>
          <t>Closing costs</t>
        </is>
      </c>
      <c r="B76" s="5" t="inlineStr">
        <is>
          <t>mortgage_tax_rate</t>
        </is>
      </c>
      <c r="C76" s="5" t="inlineStr">
        <is>
          <t>text</t>
        </is>
      </c>
      <c r="D76" s="26" t="inlineStr">
        <is>
          <t>The rate applied, as the statute expresses it.</t>
        </is>
      </c>
      <c r="E76" s="5" t="inlineStr">
        <is>
          <t>Derived by the pipeline</t>
        </is>
      </c>
      <c r="F76" s="26" t="inlineStr">
        <is>
          <t>Closing costs</t>
        </is>
      </c>
      <c r="G76" s="26" t="inlineStr">
        <is>
          <t>yes</t>
        </is>
      </c>
      <c r="H76" s="26" t="inlineStr">
        <is>
          <t>No mortgage or recording tax on the security instrument</t>
        </is>
      </c>
    </row>
    <row r="77">
      <c r="A77" s="5" t="inlineStr">
        <is>
          <t>Closing costs</t>
        </is>
      </c>
      <c r="B77" s="5" t="inlineStr">
        <is>
          <t>mortgage_tax_citation</t>
        </is>
      </c>
      <c r="C77" s="5" t="inlineStr">
        <is>
          <t>text</t>
        </is>
      </c>
      <c r="D77" s="26" t="inlineStr">
        <is>
          <t>Statute or revenue-department authority for the rate.</t>
        </is>
      </c>
      <c r="E77" s="5" t="inlineStr">
        <is>
          <t>Derived by the pipeline</t>
        </is>
      </c>
      <c r="F77" s="26" t="inlineStr">
        <is>
          <t>Reference only — not a model input</t>
        </is>
      </c>
      <c r="G77" s="26" t="inlineStr">
        <is>
          <t>yes</t>
        </is>
      </c>
      <c r="H77" s="26"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6" t="inlineStr">
        <is>
          <t>Zoned elementary school.</t>
        </is>
      </c>
      <c r="E79" s="5" t="inlineStr">
        <is>
          <t>Public school-rating source</t>
        </is>
      </c>
      <c r="F79" s="26" t="inlineStr">
        <is>
          <t>Reference only — not a model input</t>
        </is>
      </c>
      <c r="G79" s="26" t="inlineStr">
        <is>
          <t>Internal pipeline only — The internal pipeline looks up the attendance-zone elementary, middle and high school and their public ratings; the demo reads a school name only where the memorandum states one and never rates it.</t>
        </is>
      </c>
      <c r="H79" s="26" t="inlineStr">
        <is>
          <t>Porter Elementary School</t>
        </is>
      </c>
    </row>
    <row r="80">
      <c r="A80" s="5" t="inlineStr">
        <is>
          <t>Schools</t>
        </is>
      </c>
      <c r="B80" s="5" t="inlineStr">
        <is>
          <t>school_elementary_rating</t>
        </is>
      </c>
      <c r="C80" s="5" t="inlineStr">
        <is>
          <t>number</t>
        </is>
      </c>
      <c r="D80" s="26" t="inlineStr">
        <is>
          <t>Elementary rating on a 1–10 scale.</t>
        </is>
      </c>
      <c r="E80" s="5" t="inlineStr">
        <is>
          <t>Public school-rating source</t>
        </is>
      </c>
      <c r="F80" s="26" t="inlineStr">
        <is>
          <t>Reference only — not a model input</t>
        </is>
      </c>
      <c r="G80" s="26" t="inlineStr">
        <is>
          <t>Internal pipeline only — The internal pipeline looks up the attendance-zone elementary, middle and high school and their public ratings; the demo reads a school name only where the memorandum states one and never rates it.</t>
        </is>
      </c>
      <c r="H80" s="26" t="inlineStr">
        <is>
          <t>6</t>
        </is>
      </c>
    </row>
    <row r="81">
      <c r="A81" s="5" t="inlineStr">
        <is>
          <t>Schools</t>
        </is>
      </c>
      <c r="B81" s="5" t="inlineStr">
        <is>
          <t>school_middle_name</t>
        </is>
      </c>
      <c r="C81" s="5" t="inlineStr">
        <is>
          <t>text</t>
        </is>
      </c>
      <c r="D81" s="26" t="inlineStr">
        <is>
          <t>Zoned middle school.</t>
        </is>
      </c>
      <c r="E81" s="5" t="inlineStr">
        <is>
          <t>Public school-rating source</t>
        </is>
      </c>
      <c r="F81" s="26" t="inlineStr">
        <is>
          <t>Reference only — not a model input</t>
        </is>
      </c>
      <c r="G81" s="26" t="inlineStr">
        <is>
          <t>Internal pipeline only — The internal pipeline looks up the attendance-zone elementary, middle and high school and their public ratings; the demo reads a school name only where the memorandum states one and never rates it.</t>
        </is>
      </c>
      <c r="H81" s="26" t="inlineStr">
        <is>
          <t>Taylor Junior High School</t>
        </is>
      </c>
    </row>
    <row r="82">
      <c r="A82" s="5" t="inlineStr">
        <is>
          <t>Schools</t>
        </is>
      </c>
      <c r="B82" s="5" t="inlineStr">
        <is>
          <t>school_middle_rating</t>
        </is>
      </c>
      <c r="C82" s="5" t="inlineStr">
        <is>
          <t>number</t>
        </is>
      </c>
      <c r="D82" s="26" t="inlineStr">
        <is>
          <t>Middle-school rating on a 1–10 scale.</t>
        </is>
      </c>
      <c r="E82" s="5" t="inlineStr">
        <is>
          <t>Public school-rating source</t>
        </is>
      </c>
      <c r="F82" s="26" t="inlineStr">
        <is>
          <t>Reference only — not a model input</t>
        </is>
      </c>
      <c r="G82" s="26" t="inlineStr">
        <is>
          <t>Internal pipeline only — The internal pipeline looks up the attendance-zone elementary, middle and high school and their public ratings; the demo reads a school name only where the memorandum states one and never rates it.</t>
        </is>
      </c>
      <c r="H82" s="26" t="inlineStr">
        <is>
          <t>2</t>
        </is>
      </c>
    </row>
    <row r="83">
      <c r="A83" s="5" t="inlineStr">
        <is>
          <t>Schools</t>
        </is>
      </c>
      <c r="B83" s="5" t="inlineStr">
        <is>
          <t>school_high_name</t>
        </is>
      </c>
      <c r="C83" s="5" t="inlineStr">
        <is>
          <t>text</t>
        </is>
      </c>
      <c r="D83" s="26" t="inlineStr">
        <is>
          <t>Zoned high school.</t>
        </is>
      </c>
      <c r="E83" s="5" t="inlineStr">
        <is>
          <t>Public school-rating source</t>
        </is>
      </c>
      <c r="F83" s="26" t="inlineStr">
        <is>
          <t>Reference only — not a model input</t>
        </is>
      </c>
      <c r="G83" s="26" t="inlineStr">
        <is>
          <t>Internal pipeline only — The internal pipeline looks up the attendance-zone elementary, middle and high school and their public ratings; the demo reads a school name only where the memorandum states one and never rates it.</t>
        </is>
      </c>
      <c r="H83" s="26" t="inlineStr">
        <is>
          <t>Mesa High School</t>
        </is>
      </c>
    </row>
    <row r="84">
      <c r="A84" s="5" t="inlineStr">
        <is>
          <t>Schools</t>
        </is>
      </c>
      <c r="B84" s="5" t="inlineStr">
        <is>
          <t>school_high_rating</t>
        </is>
      </c>
      <c r="C84" s="5" t="inlineStr">
        <is>
          <t>number</t>
        </is>
      </c>
      <c r="D84" s="26" t="inlineStr">
        <is>
          <t>High-school rating on a 1–10 scale.</t>
        </is>
      </c>
      <c r="E84" s="5" t="inlineStr">
        <is>
          <t>Public school-rating source</t>
        </is>
      </c>
      <c r="F84" s="26" t="inlineStr">
        <is>
          <t>Reference only — not a model input</t>
        </is>
      </c>
      <c r="G84" s="26" t="inlineStr">
        <is>
          <t>Internal pipeline only — The internal pipeline looks up the attendance-zone elementary, middle and high school and their public ratings; the demo reads a school name only where the memorandum states one and never rates it.</t>
        </is>
      </c>
      <c r="H84" s="26"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6" t="inlineStr">
        <is>
          <t>Gross Potential Rent — trailing-twelve total, and trailing-three annualized beside it.</t>
        </is>
      </c>
      <c r="E86" s="5" t="inlineStr">
        <is>
          <t>Trailing-twelve-month income statement</t>
        </is>
      </c>
      <c r="F86" s="26" t="inlineStr">
        <is>
          <t>Investment analysis — T-12 revenue column</t>
        </is>
      </c>
      <c r="G86" s="26" t="inlineStr">
        <is>
          <t>yes</t>
        </is>
      </c>
      <c r="H86" s="26" t="inlineStr">
        <is>
          <t>—</t>
        </is>
      </c>
    </row>
    <row r="87">
      <c r="A87" s="5" t="inlineStr">
        <is>
          <t>T-12 revenue</t>
        </is>
      </c>
      <c r="B87" s="5" t="inlineStr">
        <is>
          <t>Gain / (Loss) to Lease</t>
        </is>
      </c>
      <c r="C87" s="5" t="inlineStr">
        <is>
          <t>currency</t>
        </is>
      </c>
      <c r="D87" s="26" t="inlineStr">
        <is>
          <t>Gain / (Loss) to Lease — trailing-twelve total, and trailing-three annualized beside it.</t>
        </is>
      </c>
      <c r="E87" s="5" t="inlineStr">
        <is>
          <t>Trailing-twelve-month income statement</t>
        </is>
      </c>
      <c r="F87" s="26" t="inlineStr">
        <is>
          <t>Investment analysis — T-12 revenue column</t>
        </is>
      </c>
      <c r="G87" s="26" t="inlineStr">
        <is>
          <t>yes</t>
        </is>
      </c>
      <c r="H87" s="26" t="inlineStr">
        <is>
          <t>—</t>
        </is>
      </c>
    </row>
    <row r="88">
      <c r="A88" s="5" t="inlineStr">
        <is>
          <t>T-12 revenue</t>
        </is>
      </c>
      <c r="B88" s="5" t="inlineStr">
        <is>
          <t>Gross Scheduled Rent</t>
        </is>
      </c>
      <c r="C88" s="5" t="inlineStr">
        <is>
          <t>currency</t>
        </is>
      </c>
      <c r="D88" s="26" t="inlineStr">
        <is>
          <t>Gross Scheduled Rent — trailing-twelve total, and trailing-three annualized beside it.</t>
        </is>
      </c>
      <c r="E88" s="5" t="inlineStr">
        <is>
          <t>Trailing-twelve-month income statement</t>
        </is>
      </c>
      <c r="F88" s="26" t="inlineStr">
        <is>
          <t>Investment analysis — T-12 revenue column</t>
        </is>
      </c>
      <c r="G88" s="26" t="inlineStr">
        <is>
          <t>yes</t>
        </is>
      </c>
      <c r="H88" s="26" t="inlineStr">
        <is>
          <t>—</t>
        </is>
      </c>
    </row>
    <row r="89">
      <c r="A89" s="5" t="inlineStr">
        <is>
          <t>T-12 revenue</t>
        </is>
      </c>
      <c r="B89" s="5" t="inlineStr">
        <is>
          <t>Vacancy</t>
        </is>
      </c>
      <c r="C89" s="5" t="inlineStr">
        <is>
          <t>currency</t>
        </is>
      </c>
      <c r="D89" s="26" t="inlineStr">
        <is>
          <t>Vacancy — trailing-twelve total, and trailing-three annualized beside it.</t>
        </is>
      </c>
      <c r="E89" s="5" t="inlineStr">
        <is>
          <t>Trailing-twelve-month income statement</t>
        </is>
      </c>
      <c r="F89" s="26" t="inlineStr">
        <is>
          <t>Investment analysis — T-12 revenue column</t>
        </is>
      </c>
      <c r="G89" s="26" t="inlineStr">
        <is>
          <t>yes</t>
        </is>
      </c>
      <c r="H89" s="26" t="inlineStr">
        <is>
          <t>—</t>
        </is>
      </c>
    </row>
    <row r="90">
      <c r="A90" s="5" t="inlineStr">
        <is>
          <t>T-12 revenue</t>
        </is>
      </c>
      <c r="B90" s="5" t="inlineStr">
        <is>
          <t>Concessions</t>
        </is>
      </c>
      <c r="C90" s="5" t="inlineStr">
        <is>
          <t>currency</t>
        </is>
      </c>
      <c r="D90" s="26" t="inlineStr">
        <is>
          <t>Concessions — trailing-twelve total, and trailing-three annualized beside it.</t>
        </is>
      </c>
      <c r="E90" s="5" t="inlineStr">
        <is>
          <t>Trailing-twelve-month income statement</t>
        </is>
      </c>
      <c r="F90" s="26" t="inlineStr">
        <is>
          <t>Investment analysis — T-12 revenue column</t>
        </is>
      </c>
      <c r="G90" s="26" t="inlineStr">
        <is>
          <t>yes</t>
        </is>
      </c>
      <c r="H90" s="26" t="inlineStr">
        <is>
          <t>—</t>
        </is>
      </c>
    </row>
    <row r="91">
      <c r="A91" s="5" t="inlineStr">
        <is>
          <t>T-12 revenue</t>
        </is>
      </c>
      <c r="B91" s="5" t="inlineStr">
        <is>
          <t>Non-Revenue Units</t>
        </is>
      </c>
      <c r="C91" s="5" t="inlineStr">
        <is>
          <t>currency</t>
        </is>
      </c>
      <c r="D91" s="26" t="inlineStr">
        <is>
          <t>Non-Revenue Units — trailing-twelve total, and trailing-three annualized beside it.</t>
        </is>
      </c>
      <c r="E91" s="5" t="inlineStr">
        <is>
          <t>Trailing-twelve-month income statement</t>
        </is>
      </c>
      <c r="F91" s="26" t="inlineStr">
        <is>
          <t>Investment analysis — T-12 revenue column</t>
        </is>
      </c>
      <c r="G91" s="26" t="inlineStr">
        <is>
          <t>yes</t>
        </is>
      </c>
      <c r="H91" s="26" t="inlineStr">
        <is>
          <t>—</t>
        </is>
      </c>
    </row>
    <row r="92">
      <c r="A92" s="5" t="inlineStr">
        <is>
          <t>T-12 revenue</t>
        </is>
      </c>
      <c r="B92" s="5" t="inlineStr">
        <is>
          <t>Delinquency</t>
        </is>
      </c>
      <c r="C92" s="5" t="inlineStr">
        <is>
          <t>currency</t>
        </is>
      </c>
      <c r="D92" s="26" t="inlineStr">
        <is>
          <t>Delinquency — trailing-twelve total, and trailing-three annualized beside it.</t>
        </is>
      </c>
      <c r="E92" s="5" t="inlineStr">
        <is>
          <t>Trailing-twelve-month income statement</t>
        </is>
      </c>
      <c r="F92" s="26" t="inlineStr">
        <is>
          <t>Investment analysis — T-12 revenue column</t>
        </is>
      </c>
      <c r="G92" s="26" t="inlineStr">
        <is>
          <t>yes</t>
        </is>
      </c>
      <c r="H92" s="26" t="inlineStr">
        <is>
          <t>—</t>
        </is>
      </c>
    </row>
    <row r="93">
      <c r="A93" s="5" t="inlineStr">
        <is>
          <t>T-12 revenue</t>
        </is>
      </c>
      <c r="B93" s="5" t="inlineStr">
        <is>
          <t>Utility Reimbursements</t>
        </is>
      </c>
      <c r="C93" s="5" t="inlineStr">
        <is>
          <t>currency</t>
        </is>
      </c>
      <c r="D93" s="26" t="inlineStr">
        <is>
          <t>Utility Reimbursements — trailing-twelve total, and trailing-three annualized beside it.</t>
        </is>
      </c>
      <c r="E93" s="5" t="inlineStr">
        <is>
          <t>Trailing-twelve-month income statement</t>
        </is>
      </c>
      <c r="F93" s="26" t="inlineStr">
        <is>
          <t>Investment analysis — T-12 revenue column</t>
        </is>
      </c>
      <c r="G93" s="26" t="inlineStr">
        <is>
          <t>yes</t>
        </is>
      </c>
      <c r="H93" s="26" t="inlineStr">
        <is>
          <t>—</t>
        </is>
      </c>
    </row>
    <row r="94">
      <c r="A94" s="5" t="inlineStr">
        <is>
          <t>T-12 revenue</t>
        </is>
      </c>
      <c r="B94" s="5" t="inlineStr">
        <is>
          <t>Other Income</t>
        </is>
      </c>
      <c r="C94" s="5" t="inlineStr">
        <is>
          <t>currency</t>
        </is>
      </c>
      <c r="D94" s="26" t="inlineStr">
        <is>
          <t>Other Income — trailing-twelve total, and trailing-three annualized beside it.</t>
        </is>
      </c>
      <c r="E94" s="5" t="inlineStr">
        <is>
          <t>Trailing-twelve-month income statement</t>
        </is>
      </c>
      <c r="F94" s="26" t="inlineStr">
        <is>
          <t>Investment analysis — T-12 revenue column</t>
        </is>
      </c>
      <c r="G94" s="26" t="inlineStr">
        <is>
          <t>yes</t>
        </is>
      </c>
      <c r="H94" s="26" t="inlineStr">
        <is>
          <t>—</t>
        </is>
      </c>
    </row>
    <row r="95">
      <c r="A95" s="5" t="inlineStr">
        <is>
          <t>T-12 revenue</t>
        </is>
      </c>
      <c r="B95" s="5" t="inlineStr">
        <is>
          <t>Revenue Adjustments</t>
        </is>
      </c>
      <c r="C95" s="5" t="inlineStr">
        <is>
          <t>currency</t>
        </is>
      </c>
      <c r="D95" s="26" t="inlineStr">
        <is>
          <t>Revenue Adjustments — trailing-twelve total, and trailing-three annualized beside it.</t>
        </is>
      </c>
      <c r="E95" s="5" t="inlineStr">
        <is>
          <t>Trailing-twelve-month income statement</t>
        </is>
      </c>
      <c r="F95" s="26" t="inlineStr">
        <is>
          <t>Investment analysis — T-12 revenue column</t>
        </is>
      </c>
      <c r="G95" s="26" t="inlineStr">
        <is>
          <t>yes</t>
        </is>
      </c>
      <c r="H95" s="26" t="inlineStr">
        <is>
          <t>—</t>
        </is>
      </c>
    </row>
    <row r="96">
      <c r="A96" s="5" t="inlineStr">
        <is>
          <t>T-12 revenue</t>
        </is>
      </c>
      <c r="B96" s="5" t="inlineStr">
        <is>
          <t>Total Revenue</t>
        </is>
      </c>
      <c r="C96" s="5" t="inlineStr">
        <is>
          <t>currency</t>
        </is>
      </c>
      <c r="D96" s="26" t="inlineStr">
        <is>
          <t>Total Revenue — trailing-twelve total, and trailing-three annualized beside it.</t>
        </is>
      </c>
      <c r="E96" s="5" t="inlineStr">
        <is>
          <t>Trailing-twelve-month income statement</t>
        </is>
      </c>
      <c r="F96" s="26" t="inlineStr">
        <is>
          <t>Investment analysis — T-12 revenue column</t>
        </is>
      </c>
      <c r="G96" s="26" t="inlineStr">
        <is>
          <t>yes</t>
        </is>
      </c>
      <c r="H96" s="26"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6" t="inlineStr">
        <is>
          <t>General and Administrative — trailing-twelve total, trailing-three annualized, and per unit.</t>
        </is>
      </c>
      <c r="E98" s="5" t="inlineStr">
        <is>
          <t>Trailing-twelve-month income statement</t>
        </is>
      </c>
      <c r="F98" s="26" t="inlineStr">
        <is>
          <t>Investment analysis — T-12 expense column</t>
        </is>
      </c>
      <c r="G98" s="26" t="inlineStr">
        <is>
          <t>yes</t>
        </is>
      </c>
      <c r="H98" s="26" t="inlineStr">
        <is>
          <t>—</t>
        </is>
      </c>
    </row>
    <row r="99">
      <c r="A99" s="5" t="inlineStr">
        <is>
          <t>T-12 expense</t>
        </is>
      </c>
      <c r="B99" s="5" t="inlineStr">
        <is>
          <t>Leasing and Marketing</t>
        </is>
      </c>
      <c r="C99" s="5" t="inlineStr">
        <is>
          <t>currency</t>
        </is>
      </c>
      <c r="D99" s="26" t="inlineStr">
        <is>
          <t>Leasing and Marketing — trailing-twelve total, trailing-three annualized, and per unit.</t>
        </is>
      </c>
      <c r="E99" s="5" t="inlineStr">
        <is>
          <t>Trailing-twelve-month income statement</t>
        </is>
      </c>
      <c r="F99" s="26" t="inlineStr">
        <is>
          <t>Investment analysis — T-12 expense column</t>
        </is>
      </c>
      <c r="G99" s="26" t="inlineStr">
        <is>
          <t>yes</t>
        </is>
      </c>
      <c r="H99" s="26" t="inlineStr">
        <is>
          <t>—</t>
        </is>
      </c>
    </row>
    <row r="100">
      <c r="A100" s="5" t="inlineStr">
        <is>
          <t>T-12 expense</t>
        </is>
      </c>
      <c r="B100" s="5" t="inlineStr">
        <is>
          <t>Payroll</t>
        </is>
      </c>
      <c r="C100" s="5" t="inlineStr">
        <is>
          <t>currency</t>
        </is>
      </c>
      <c r="D100" s="26" t="inlineStr">
        <is>
          <t>Payroll — trailing-twelve total, trailing-three annualized, and per unit.</t>
        </is>
      </c>
      <c r="E100" s="5" t="inlineStr">
        <is>
          <t>Trailing-twelve-month income statement</t>
        </is>
      </c>
      <c r="F100" s="26" t="inlineStr">
        <is>
          <t>Investment analysis — T-12 expense column</t>
        </is>
      </c>
      <c r="G100" s="26" t="inlineStr">
        <is>
          <t>yes</t>
        </is>
      </c>
      <c r="H100" s="26" t="inlineStr">
        <is>
          <t>—</t>
        </is>
      </c>
    </row>
    <row r="101">
      <c r="A101" s="5" t="inlineStr">
        <is>
          <t>T-12 expense</t>
        </is>
      </c>
      <c r="B101" s="5" t="inlineStr">
        <is>
          <t>Insurance</t>
        </is>
      </c>
      <c r="C101" s="5" t="inlineStr">
        <is>
          <t>currency</t>
        </is>
      </c>
      <c r="D101" s="26" t="inlineStr">
        <is>
          <t>Insurance — trailing-twelve total, trailing-three annualized, and per unit.</t>
        </is>
      </c>
      <c r="E101" s="5" t="inlineStr">
        <is>
          <t>Trailing-twelve-month income statement</t>
        </is>
      </c>
      <c r="F101" s="26" t="inlineStr">
        <is>
          <t>Investment analysis — T-12 expense column</t>
        </is>
      </c>
      <c r="G101" s="26" t="inlineStr">
        <is>
          <t>yes</t>
        </is>
      </c>
      <c r="H101" s="26" t="inlineStr">
        <is>
          <t>—</t>
        </is>
      </c>
    </row>
    <row r="102">
      <c r="A102" s="5" t="inlineStr">
        <is>
          <t>T-12 expense</t>
        </is>
      </c>
      <c r="B102" s="5" t="inlineStr">
        <is>
          <t>Property Taxes</t>
        </is>
      </c>
      <c r="C102" s="5" t="inlineStr">
        <is>
          <t>currency</t>
        </is>
      </c>
      <c r="D102" s="26" t="inlineStr">
        <is>
          <t>Property Taxes — trailing-twelve total, trailing-three annualized, and per unit.</t>
        </is>
      </c>
      <c r="E102" s="5" t="inlineStr">
        <is>
          <t>Trailing-twelve-month income statement</t>
        </is>
      </c>
      <c r="F102" s="26" t="inlineStr">
        <is>
          <t>Investment analysis — T-12 expense column</t>
        </is>
      </c>
      <c r="G102" s="26" t="inlineStr">
        <is>
          <t>yes</t>
        </is>
      </c>
      <c r="H102" s="26" t="inlineStr">
        <is>
          <t>—</t>
        </is>
      </c>
    </row>
    <row r="103">
      <c r="A103" s="5" t="inlineStr">
        <is>
          <t>T-12 expense</t>
        </is>
      </c>
      <c r="B103" s="5" t="inlineStr">
        <is>
          <t>Legal and Professional</t>
        </is>
      </c>
      <c r="C103" s="5" t="inlineStr">
        <is>
          <t>currency</t>
        </is>
      </c>
      <c r="D103" s="26" t="inlineStr">
        <is>
          <t>Legal and Professional — trailing-twelve total, trailing-three annualized, and per unit.</t>
        </is>
      </c>
      <c r="E103" s="5" t="inlineStr">
        <is>
          <t>Trailing-twelve-month income statement</t>
        </is>
      </c>
      <c r="F103" s="26" t="inlineStr">
        <is>
          <t>Investment analysis — T-12 expense column</t>
        </is>
      </c>
      <c r="G103" s="26" t="inlineStr">
        <is>
          <t>yes</t>
        </is>
      </c>
      <c r="H103" s="26" t="inlineStr">
        <is>
          <t>—</t>
        </is>
      </c>
    </row>
    <row r="104">
      <c r="A104" s="5" t="inlineStr">
        <is>
          <t>T-12 expense</t>
        </is>
      </c>
      <c r="B104" s="5" t="inlineStr">
        <is>
          <t>Management Fee</t>
        </is>
      </c>
      <c r="C104" s="5" t="inlineStr">
        <is>
          <t>currency</t>
        </is>
      </c>
      <c r="D104" s="26" t="inlineStr">
        <is>
          <t>Management Fee — trailing-twelve total, trailing-three annualized, and per unit.</t>
        </is>
      </c>
      <c r="E104" s="5" t="inlineStr">
        <is>
          <t>Trailing-twelve-month income statement</t>
        </is>
      </c>
      <c r="F104" s="26" t="inlineStr">
        <is>
          <t>Investment analysis — T-12 expense column</t>
        </is>
      </c>
      <c r="G104" s="26" t="inlineStr">
        <is>
          <t>yes</t>
        </is>
      </c>
      <c r="H104" s="26" t="inlineStr">
        <is>
          <t>—</t>
        </is>
      </c>
    </row>
    <row r="105">
      <c r="A105" s="5" t="inlineStr">
        <is>
          <t>T-12 expense</t>
        </is>
      </c>
      <c r="B105" s="5" t="inlineStr">
        <is>
          <t>Landscaping</t>
        </is>
      </c>
      <c r="C105" s="5" t="inlineStr">
        <is>
          <t>currency</t>
        </is>
      </c>
      <c r="D105" s="26" t="inlineStr">
        <is>
          <t>Landscaping — trailing-twelve total, trailing-three annualized, and per unit.</t>
        </is>
      </c>
      <c r="E105" s="5" t="inlineStr">
        <is>
          <t>Trailing-twelve-month income statement</t>
        </is>
      </c>
      <c r="F105" s="26" t="inlineStr">
        <is>
          <t>Investment analysis — T-12 expense column</t>
        </is>
      </c>
      <c r="G105" s="26" t="inlineStr">
        <is>
          <t>yes</t>
        </is>
      </c>
      <c r="H105" s="26" t="inlineStr">
        <is>
          <t>—</t>
        </is>
      </c>
    </row>
    <row r="106">
      <c r="A106" s="5" t="inlineStr">
        <is>
          <t>T-12 expense</t>
        </is>
      </c>
      <c r="B106" s="5" t="inlineStr">
        <is>
          <t>Repairs and Maintenance</t>
        </is>
      </c>
      <c r="C106" s="5" t="inlineStr">
        <is>
          <t>currency</t>
        </is>
      </c>
      <c r="D106" s="26" t="inlineStr">
        <is>
          <t>Repairs and Maintenance — trailing-twelve total, trailing-three annualized, and per unit.</t>
        </is>
      </c>
      <c r="E106" s="5" t="inlineStr">
        <is>
          <t>Trailing-twelve-month income statement</t>
        </is>
      </c>
      <c r="F106" s="26" t="inlineStr">
        <is>
          <t>Investment analysis — T-12 expense column</t>
        </is>
      </c>
      <c r="G106" s="26" t="inlineStr">
        <is>
          <t>yes</t>
        </is>
      </c>
      <c r="H106" s="26" t="inlineStr">
        <is>
          <t>—</t>
        </is>
      </c>
    </row>
    <row r="107">
      <c r="A107" s="5" t="inlineStr">
        <is>
          <t>T-12 expense</t>
        </is>
      </c>
      <c r="B107" s="5" t="inlineStr">
        <is>
          <t>Unit Turns</t>
        </is>
      </c>
      <c r="C107" s="5" t="inlineStr">
        <is>
          <t>currency</t>
        </is>
      </c>
      <c r="D107" s="26" t="inlineStr">
        <is>
          <t>Unit Turns — trailing-twelve total, trailing-three annualized, and per unit.</t>
        </is>
      </c>
      <c r="E107" s="5" t="inlineStr">
        <is>
          <t>Trailing-twelve-month income statement</t>
        </is>
      </c>
      <c r="F107" s="26" t="inlineStr">
        <is>
          <t>Investment analysis — T-12 expense column</t>
        </is>
      </c>
      <c r="G107" s="26" t="inlineStr">
        <is>
          <t>yes</t>
        </is>
      </c>
      <c r="H107" s="26" t="inlineStr">
        <is>
          <t>—</t>
        </is>
      </c>
    </row>
    <row r="108">
      <c r="A108" s="5" t="inlineStr">
        <is>
          <t>T-12 expense</t>
        </is>
      </c>
      <c r="B108" s="5" t="inlineStr">
        <is>
          <t>Utilities</t>
        </is>
      </c>
      <c r="C108" s="5" t="inlineStr">
        <is>
          <t>currency</t>
        </is>
      </c>
      <c r="D108" s="26" t="inlineStr">
        <is>
          <t>Utilities — trailing-twelve total, trailing-three annualized, and per unit.</t>
        </is>
      </c>
      <c r="E108" s="5" t="inlineStr">
        <is>
          <t>Trailing-twelve-month income statement</t>
        </is>
      </c>
      <c r="F108" s="26" t="inlineStr">
        <is>
          <t>Investment analysis — T-12 expense column</t>
        </is>
      </c>
      <c r="G108" s="26" t="inlineStr">
        <is>
          <t>yes</t>
        </is>
      </c>
      <c r="H108" s="26" t="inlineStr">
        <is>
          <t>—</t>
        </is>
      </c>
    </row>
    <row r="109">
      <c r="A109" s="5" t="inlineStr">
        <is>
          <t>T-12 expense</t>
        </is>
      </c>
      <c r="B109" s="5" t="inlineStr">
        <is>
          <t>Expense Adjustments</t>
        </is>
      </c>
      <c r="C109" s="5" t="inlineStr">
        <is>
          <t>currency</t>
        </is>
      </c>
      <c r="D109" s="26" t="inlineStr">
        <is>
          <t>Expense Adjustments — trailing-twelve total, trailing-three annualized, and per unit.</t>
        </is>
      </c>
      <c r="E109" s="5" t="inlineStr">
        <is>
          <t>Trailing-twelve-month income statement</t>
        </is>
      </c>
      <c r="F109" s="26" t="inlineStr">
        <is>
          <t>Investment analysis — T-12 expense column</t>
        </is>
      </c>
      <c r="G109" s="26" t="inlineStr">
        <is>
          <t>yes</t>
        </is>
      </c>
      <c r="H109" s="26"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6" t="inlineStr">
        <is>
          <t>Twelve month labels in the source statement's own order.</t>
        </is>
      </c>
      <c r="E111" s="5" t="inlineStr">
        <is>
          <t>Trailing-twelve-month income statement</t>
        </is>
      </c>
      <c r="F111" s="26" t="inlineStr">
        <is>
          <t>T-12 column headers</t>
        </is>
      </c>
      <c r="G111" s="26" t="inlineStr">
        <is>
          <t>yes</t>
        </is>
      </c>
      <c r="H111" s="26" t="inlineStr">
        <is>
          <t>—</t>
        </is>
      </c>
    </row>
    <row r="112">
      <c r="A112" s="5" t="inlineStr">
        <is>
          <t>T-12 structure</t>
        </is>
      </c>
      <c r="B112" s="5" t="inlineStr">
        <is>
          <t>month_order</t>
        </is>
      </c>
      <c r="C112" s="5" t="inlineStr">
        <is>
          <t>text</t>
        </is>
      </c>
      <c r="D112" s="26" t="inlineStr">
        <is>
          <t>Whether the months run oldest-first or newest-first. Detected from the labels, never assumed, because the T-3 window depends on it.</t>
        </is>
      </c>
      <c r="E112" s="5" t="inlineStr">
        <is>
          <t>Derived by the pipeline</t>
        </is>
      </c>
      <c r="F112" s="26" t="inlineStr">
        <is>
          <t>Reference only — not a model input</t>
        </is>
      </c>
      <c r="G112" s="26" t="inlineStr">
        <is>
          <t>yes</t>
        </is>
      </c>
      <c r="H112" s="26" t="inlineStr">
        <is>
          <t>—</t>
        </is>
      </c>
    </row>
    <row r="113">
      <c r="A113" s="5" t="inlineStr">
        <is>
          <t>T-12 structure</t>
        </is>
      </c>
      <c r="B113" s="5" t="inlineStr">
        <is>
          <t>line_item_label</t>
        </is>
      </c>
      <c r="C113" s="5" t="inlineStr">
        <is>
          <t>text</t>
        </is>
      </c>
      <c r="D113" s="26" t="inlineStr">
        <is>
          <t>The source statement's own wording for a line, kept verbatim beside the category it was mapped to.</t>
        </is>
      </c>
      <c r="E113" s="5" t="inlineStr">
        <is>
          <t>Trailing-twelve-month income statement</t>
        </is>
      </c>
      <c r="F113" s="26" t="inlineStr">
        <is>
          <t>T-12 line item</t>
        </is>
      </c>
      <c r="G113" s="26" t="inlineStr">
        <is>
          <t>yes</t>
        </is>
      </c>
      <c r="H113" s="26" t="inlineStr">
        <is>
          <t>MARKET RENT (1016)</t>
        </is>
      </c>
    </row>
    <row r="114">
      <c r="A114" s="5" t="inlineStr">
        <is>
          <t>T-12 structure</t>
        </is>
      </c>
      <c r="B114" s="5" t="inlineStr">
        <is>
          <t>line_item_category</t>
        </is>
      </c>
      <c r="C114" s="5" t="inlineStr">
        <is>
          <t>text</t>
        </is>
      </c>
      <c r="D114" s="26" t="inlineStr">
        <is>
          <t>Which vendored category a source line was mapped to. Blank for an uncategorized subtotal, which stays visible rather than being dropped.</t>
        </is>
      </c>
      <c r="E114" s="5" t="inlineStr">
        <is>
          <t>Derived by the pipeline</t>
        </is>
      </c>
      <c r="F114" s="26" t="inlineStr">
        <is>
          <t>T-12 mapping</t>
        </is>
      </c>
      <c r="G114" s="26" t="inlineStr">
        <is>
          <t>yes</t>
        </is>
      </c>
      <c r="H114" s="26" t="inlineStr">
        <is>
          <t>Gross Potential Rent</t>
        </is>
      </c>
    </row>
    <row r="115">
      <c r="A115" s="5" t="inlineStr">
        <is>
          <t>T-12 structure</t>
        </is>
      </c>
      <c r="B115" s="5" t="inlineStr">
        <is>
          <t>line_item_t12_total</t>
        </is>
      </c>
      <c r="C115" s="5" t="inlineStr">
        <is>
          <t>currency</t>
        </is>
      </c>
      <c r="D115" s="26" t="inlineStr">
        <is>
          <t>Sum of a line's twelve months.</t>
        </is>
      </c>
      <c r="E115" s="5" t="inlineStr">
        <is>
          <t>Derived by the pipeline</t>
        </is>
      </c>
      <c r="F115" s="26" t="inlineStr">
        <is>
          <t>T-12 column</t>
        </is>
      </c>
      <c r="G115" s="26" t="inlineStr">
        <is>
          <t>yes</t>
        </is>
      </c>
      <c r="H115" s="26" t="inlineStr">
        <is>
          <t>—</t>
        </is>
      </c>
    </row>
    <row r="116">
      <c r="A116" s="5" t="inlineStr">
        <is>
          <t>T-12 structure</t>
        </is>
      </c>
      <c r="B116" s="5" t="inlineStr">
        <is>
          <t>line_item_t3_total</t>
        </is>
      </c>
      <c r="C116" s="5" t="inlineStr">
        <is>
          <t>currency</t>
        </is>
      </c>
      <c r="D116" s="26" t="inlineStr">
        <is>
          <t>Sum of a line's three most recent months, taken from whichever end the direction detector found.</t>
        </is>
      </c>
      <c r="E116" s="5" t="inlineStr">
        <is>
          <t>Derived by the pipeline</t>
        </is>
      </c>
      <c r="F116" s="26" t="inlineStr">
        <is>
          <t>T-3 column</t>
        </is>
      </c>
      <c r="G116" s="26" t="inlineStr">
        <is>
          <t>yes</t>
        </is>
      </c>
      <c r="H116" s="26" t="inlineStr">
        <is>
          <t>—</t>
        </is>
      </c>
    </row>
    <row r="117">
      <c r="A117" s="5" t="inlineStr">
        <is>
          <t>T-12 structure</t>
        </is>
      </c>
      <c r="B117" s="5" t="inlineStr">
        <is>
          <t>gross_scheduled_rent</t>
        </is>
      </c>
      <c r="C117" s="5" t="inlineStr">
        <is>
          <t>currency</t>
        </is>
      </c>
      <c r="D117" s="26" t="inlineStr">
        <is>
          <t>Printed on the statement where it exists, otherwise gross potential rent plus gain/(loss) to lease. Which one fired is visible in the workbook formula.</t>
        </is>
      </c>
      <c r="E117" s="5" t="inlineStr">
        <is>
          <t>Derived by the pipeline</t>
        </is>
      </c>
      <c r="F117" s="26" t="inlineStr">
        <is>
          <t>Gross scheduled rent</t>
        </is>
      </c>
      <c r="G117" s="26" t="inlineStr">
        <is>
          <t>yes</t>
        </is>
      </c>
      <c r="H117" s="26" t="inlineStr">
        <is>
          <t>—</t>
        </is>
      </c>
    </row>
    <row r="118">
      <c r="A118" s="5" t="inlineStr">
        <is>
          <t>T-12 structure</t>
        </is>
      </c>
      <c r="B118" s="5" t="inlineStr">
        <is>
          <t>total_revenue</t>
        </is>
      </c>
      <c r="C118" s="5" t="inlineStr">
        <is>
          <t>currency</t>
        </is>
      </c>
      <c r="D118" s="26" t="inlineStr">
        <is>
          <t>Sum from gross scheduled rent down through revenue adjustments — never from gross potential rent, which double-counts loss-to-lease.</t>
        </is>
      </c>
      <c r="E118" s="5" t="inlineStr">
        <is>
          <t>Derived by the pipeline</t>
        </is>
      </c>
      <c r="F118" s="26" t="inlineStr">
        <is>
          <t>Total revenue</t>
        </is>
      </c>
      <c r="G118" s="26" t="inlineStr">
        <is>
          <t>yes</t>
        </is>
      </c>
      <c r="H118" s="26" t="inlineStr">
        <is>
          <t>—</t>
        </is>
      </c>
    </row>
    <row r="119">
      <c r="A119" s="5" t="inlineStr">
        <is>
          <t>T-12 structure</t>
        </is>
      </c>
      <c r="B119" s="5" t="inlineStr">
        <is>
          <t>total_operating_expenses</t>
        </is>
      </c>
      <c r="C119" s="5" t="inlineStr">
        <is>
          <t>currency</t>
        </is>
      </c>
      <c r="D119" s="26" t="inlineStr">
        <is>
          <t>Sum of the twelve expense categories.</t>
        </is>
      </c>
      <c r="E119" s="5" t="inlineStr">
        <is>
          <t>Derived by the pipeline</t>
        </is>
      </c>
      <c r="F119" s="26" t="inlineStr">
        <is>
          <t>Total operating expenses</t>
        </is>
      </c>
      <c r="G119" s="26" t="inlineStr">
        <is>
          <t>yes</t>
        </is>
      </c>
      <c r="H119" s="26" t="inlineStr">
        <is>
          <t>—</t>
        </is>
      </c>
    </row>
    <row r="120">
      <c r="A120" s="5" t="inlineStr">
        <is>
          <t>T-12 structure</t>
        </is>
      </c>
      <c r="B120" s="5" t="inlineStr">
        <is>
          <t>net_operating_income</t>
        </is>
      </c>
      <c r="C120" s="5" t="inlineStr">
        <is>
          <t>currency</t>
        </is>
      </c>
      <c r="D120" s="26" t="inlineStr">
        <is>
          <t>Total revenue less total operating expenses.</t>
        </is>
      </c>
      <c r="E120" s="5" t="inlineStr">
        <is>
          <t>Derived by the pipeline</t>
        </is>
      </c>
      <c r="F120" s="26" t="inlineStr">
        <is>
          <t>Net operating income</t>
        </is>
      </c>
      <c r="G120" s="26" t="inlineStr">
        <is>
          <t>yes</t>
        </is>
      </c>
      <c r="H120" s="26" t="inlineStr">
        <is>
          <t>—</t>
        </is>
      </c>
    </row>
    <row r="121">
      <c r="A121" s="5" t="inlineStr">
        <is>
          <t>T-12 structure</t>
        </is>
      </c>
      <c r="B121" s="5" t="inlineStr">
        <is>
          <t>t3_annualized</t>
        </is>
      </c>
      <c r="C121" s="5" t="inlineStr">
        <is>
          <t>currency</t>
        </is>
      </c>
      <c r="D121" s="26" t="inlineStr">
        <is>
          <t>Trailing-three total times four, beside every rollup row.</t>
        </is>
      </c>
      <c r="E121" s="5" t="inlineStr">
        <is>
          <t>Derived by the pipeline</t>
        </is>
      </c>
      <c r="F121" s="26" t="inlineStr">
        <is>
          <t>T-3 annualized column</t>
        </is>
      </c>
      <c r="G121" s="26" t="inlineStr">
        <is>
          <t>yes</t>
        </is>
      </c>
      <c r="H121" s="26" t="inlineStr">
        <is>
          <t>—</t>
        </is>
      </c>
    </row>
    <row r="122">
      <c r="A122" s="5" t="inlineStr">
        <is>
          <t>T-12 structure</t>
        </is>
      </c>
      <c r="B122" s="5" t="inlineStr">
        <is>
          <t>t6_annualized</t>
        </is>
      </c>
      <c r="C122" s="5" t="inlineStr">
        <is>
          <t>currency</t>
        </is>
      </c>
      <c r="D122" s="26" t="inlineStr">
        <is>
          <t>Trailing-six total times two, so a reader can see whether the trend is up or down.</t>
        </is>
      </c>
      <c r="E122" s="5" t="inlineStr">
        <is>
          <t>Derived by the pipeline</t>
        </is>
      </c>
      <c r="F122" s="26" t="inlineStr">
        <is>
          <t>Trend cross-check</t>
        </is>
      </c>
      <c r="G122" s="26" t="inlineStr">
        <is>
          <t>yes</t>
        </is>
      </c>
      <c r="H122" s="26" t="inlineStr">
        <is>
          <t>—</t>
        </is>
      </c>
    </row>
    <row r="123">
      <c r="A123" s="5" t="inlineStr">
        <is>
          <t>T-12 structure</t>
        </is>
      </c>
      <c r="B123" s="5" t="inlineStr">
        <is>
          <t>t3_trailing_revenue_annualized</t>
        </is>
      </c>
      <c r="C123" s="5" t="inlineStr">
        <is>
          <t>currency</t>
        </is>
      </c>
      <c r="D123" s="26" t="inlineStr">
        <is>
          <t>Six figures: each of the six most recent months plus the two before it, times four — the trend the T-3 cap rate sits at the end of.</t>
        </is>
      </c>
      <c r="E123" s="5" t="inlineStr">
        <is>
          <t>Derived by the pipeline</t>
        </is>
      </c>
      <c r="F123" s="26" t="inlineStr">
        <is>
          <t>Investment analysis — trailing T-3 revenue series</t>
        </is>
      </c>
      <c r="G123" s="26" t="inlineStr">
        <is>
          <t>yes</t>
        </is>
      </c>
      <c r="H123" s="26" t="inlineStr">
        <is>
          <t>—</t>
        </is>
      </c>
    </row>
    <row r="124">
      <c r="A124" s="5" t="inlineStr">
        <is>
          <t>T-12 structure</t>
        </is>
      </c>
      <c r="B124" s="5" t="inlineStr">
        <is>
          <t>statement_guards</t>
        </is>
      </c>
      <c r="C124" s="5" t="inlineStr">
        <is>
          <t>text</t>
        </is>
      </c>
      <c r="D124" s="26" t="inlineStr">
        <is>
          <t>Four sanity checks on how the statement is printed — contra-revenue sign, expense sign, recoveries inside expense buckets, a subtotal counted with its members — each OK or REVIEW with the lines named.</t>
        </is>
      </c>
      <c r="E124" s="5" t="inlineStr">
        <is>
          <t>Derived by the pipeline</t>
        </is>
      </c>
      <c r="F124" s="26" t="inlineStr">
        <is>
          <t>Review flags — not a model input</t>
        </is>
      </c>
      <c r="G124" s="26" t="inlineStr">
        <is>
          <t>yes</t>
        </is>
      </c>
      <c r="H124" s="26" t="inlineStr">
        <is>
          <t>—</t>
        </is>
      </c>
    </row>
    <row r="125">
      <c r="A125" s="5" t="inlineStr">
        <is>
          <t>T-12 structure</t>
        </is>
      </c>
      <c r="B125" s="5" t="inlineStr">
        <is>
          <t>expense_per_unit</t>
        </is>
      </c>
      <c r="C125" s="5" t="inlineStr">
        <is>
          <t>currency</t>
        </is>
      </c>
      <c r="D125" s="26" t="inlineStr">
        <is>
          <t>Each rollup row divided by unit count, blank-guarded so a bad unit count cannot fill the column with errors.</t>
        </is>
      </c>
      <c r="E125" s="5" t="inlineStr">
        <is>
          <t>Derived by the pipeline</t>
        </is>
      </c>
      <c r="F125" s="26" t="inlineStr">
        <is>
          <t>Per-unit expense check</t>
        </is>
      </c>
      <c r="G125" s="26" t="inlineStr">
        <is>
          <t>yes</t>
        </is>
      </c>
      <c r="H125" s="26" t="inlineStr">
        <is>
          <t>—</t>
        </is>
      </c>
    </row>
    <row r="126">
      <c r="A126" s="5" t="inlineStr">
        <is>
          <t>T-12 structure</t>
        </is>
      </c>
      <c r="B126" s="5" t="inlineStr">
        <is>
          <t>pct_of_revenue</t>
        </is>
      </c>
      <c r="C126" s="5" t="inlineStr">
        <is>
          <t>percent</t>
        </is>
      </c>
      <c r="D126" s="26" t="inlineStr">
        <is>
          <t>Each rollup row as a share of total revenue.</t>
        </is>
      </c>
      <c r="E126" s="5" t="inlineStr">
        <is>
          <t>Derived by the pipeline</t>
        </is>
      </c>
      <c r="F126" s="26" t="inlineStr">
        <is>
          <t>Expense ratio check</t>
        </is>
      </c>
      <c r="G126" s="26" t="inlineStr">
        <is>
          <t>yes</t>
        </is>
      </c>
      <c r="H126" s="26" t="inlineStr">
        <is>
          <t>—</t>
        </is>
      </c>
    </row>
    <row r="127">
      <c r="A127" s="5" t="inlineStr">
        <is>
          <t>T-12 structure</t>
        </is>
      </c>
      <c r="B127" s="5" t="inlineStr">
        <is>
          <t>breakout_top4</t>
        </is>
      </c>
      <c r="C127" s="5" t="inlineStr">
        <is>
          <t>table</t>
        </is>
      </c>
      <c r="D127" s="26" t="inlineStr">
        <is>
          <t>For other income, utility reimbursements, and utilities: the four largest constituent lines plus a Rest row, tying to the rollup.</t>
        </is>
      </c>
      <c r="E127" s="5" t="inlineStr">
        <is>
          <t>Derived by the pipeline</t>
        </is>
      </c>
      <c r="F127" s="26" t="inlineStr">
        <is>
          <t>Other-income / utility detail</t>
        </is>
      </c>
      <c r="G127" s="26" t="inlineStr">
        <is>
          <t>yes</t>
        </is>
      </c>
      <c r="H127" s="26" t="inlineStr">
        <is>
          <t>—</t>
        </is>
      </c>
    </row>
    <row r="128">
      <c r="A128" s="5" t="inlineStr">
        <is>
          <t>T-12 structure</t>
        </is>
      </c>
      <c r="B128" s="5" t="inlineStr">
        <is>
          <t>source_subtotal</t>
        </is>
      </c>
      <c r="C128" s="5" t="inlineStr">
        <is>
          <t>currency</t>
        </is>
      </c>
      <c r="D128" s="26" t="inlineStr">
        <is>
          <t>A subtotal as printed on the source statement, kept for the cross-tie.</t>
        </is>
      </c>
      <c r="E128" s="5" t="inlineStr">
        <is>
          <t>Trailing-twelve-month income statement</t>
        </is>
      </c>
      <c r="F128" s="26" t="inlineStr">
        <is>
          <t>Reference only — not a model input</t>
        </is>
      </c>
      <c r="G128" s="26" t="inlineStr">
        <is>
          <t>yes</t>
        </is>
      </c>
      <c r="H128" s="26" t="inlineStr">
        <is>
          <t>—</t>
        </is>
      </c>
    </row>
    <row r="129">
      <c r="A129" s="5" t="inlineStr">
        <is>
          <t>T-12 structure</t>
        </is>
      </c>
      <c r="B129" s="5" t="inlineStr">
        <is>
          <t>error_check_difference</t>
        </is>
      </c>
      <c r="C129" s="5" t="inlineStr">
        <is>
          <t>currency</t>
        </is>
      </c>
      <c r="D129" s="26" t="inlineStr">
        <is>
          <t>Our category total less the source's printed subtotal. Anything over a dollar reads REVIEW rather than quietly passing.</t>
        </is>
      </c>
      <c r="E129" s="5" t="inlineStr">
        <is>
          <t>Derived by the pipeline</t>
        </is>
      </c>
      <c r="F129" s="26" t="inlineStr">
        <is>
          <t>Reference only — not a model input</t>
        </is>
      </c>
      <c r="G129" s="26" t="inlineStr">
        <is>
          <t>yes</t>
        </is>
      </c>
      <c r="H129" s="26" t="inlineStr">
        <is>
          <t>—</t>
        </is>
      </c>
    </row>
    <row r="130">
      <c r="A130" s="5" t="inlineStr">
        <is>
          <t>T-12 structure</t>
        </is>
      </c>
      <c r="B130" s="5" t="inlineStr">
        <is>
          <t>absent_reason</t>
        </is>
      </c>
      <c r="C130" s="5" t="inlineStr">
        <is>
          <t>text</t>
        </is>
      </c>
      <c r="D130" s="26" t="inlineStr">
        <is>
          <t>Why the T-12 section is empty, when no trailing-twelve statement was supplied. Twelve months of zeroes would validate and read as a property that earned nothing; a stated reason cannot be mistaken for one.</t>
        </is>
      </c>
      <c r="E130" s="5" t="inlineStr">
        <is>
          <t>Derived by the pipeline</t>
        </is>
      </c>
      <c r="F130" s="26" t="inlineStr">
        <is>
          <t>Reference only — not a model input</t>
        </is>
      </c>
      <c r="G130" s="26" t="inlineStr">
        <is>
          <t>yes</t>
        </is>
      </c>
      <c r="H130" s="26" t="inlineStr">
        <is>
          <t>—</t>
        </is>
      </c>
    </row>
    <row r="131">
      <c r="A131" s="4" t="inlineStr">
        <is>
          <t>Rent roll — unit</t>
        </is>
      </c>
      <c r="B131" s="4" t="n"/>
      <c r="C131" s="4" t="n"/>
      <c r="D131" s="4" t="n"/>
      <c r="E131" s="4" t="n"/>
      <c r="F131" s="4" t="n"/>
      <c r="G131" s="4" t="n"/>
      <c r="H131" s="4" t="n"/>
    </row>
    <row r="132">
      <c r="A132" s="5" t="inlineStr">
        <is>
          <t>Rent roll — unit</t>
        </is>
      </c>
      <c r="B132" s="5" t="inlineStr">
        <is>
          <t>unit_id</t>
        </is>
      </c>
      <c r="C132" s="5" t="inlineStr">
        <is>
          <t>text</t>
        </is>
      </c>
      <c r="D132" s="26" t="inlineStr">
        <is>
          <t>Unit identifier. The output carries unit IDs only; no tenant-name column exists in the schema.</t>
        </is>
      </c>
      <c r="E132" s="5" t="inlineStr">
        <is>
          <t>Rent roll export</t>
        </is>
      </c>
      <c r="F132" s="26" t="inlineStr">
        <is>
          <t>Unit list</t>
        </is>
      </c>
      <c r="G132" s="26" t="inlineStr">
        <is>
          <t>yes</t>
        </is>
      </c>
      <c r="H132" s="26" t="inlineStr">
        <is>
          <t>1001</t>
        </is>
      </c>
    </row>
    <row r="133">
      <c r="A133" s="5" t="inlineStr">
        <is>
          <t>Rent roll — unit</t>
        </is>
      </c>
      <c r="B133" s="5" t="inlineStr">
        <is>
          <t>floor_plan</t>
        </is>
      </c>
      <c r="C133" s="5" t="inlineStr">
        <is>
          <t>text</t>
        </is>
      </c>
      <c r="D133" s="26" t="inlineStr">
        <is>
          <t>Floor-plan code the unit belongs to.</t>
        </is>
      </c>
      <c r="E133" s="5" t="inlineStr">
        <is>
          <t>Rent roll export</t>
        </is>
      </c>
      <c r="F133" s="26" t="inlineStr">
        <is>
          <t>Unit mix</t>
        </is>
      </c>
      <c r="G133" s="26" t="inlineStr">
        <is>
          <t>yes</t>
        </is>
      </c>
      <c r="H133" s="26" t="inlineStr">
        <is>
          <t>3X2B</t>
        </is>
      </c>
    </row>
    <row r="134">
      <c r="A134" s="5" t="inlineStr">
        <is>
          <t>Rent roll — unit</t>
        </is>
      </c>
      <c r="B134" s="5" t="inlineStr">
        <is>
          <t>beds</t>
        </is>
      </c>
      <c r="C134" s="5" t="inlineStr">
        <is>
          <t>number</t>
        </is>
      </c>
      <c r="D134" s="26" t="inlineStr">
        <is>
          <t>Bedrooms.</t>
        </is>
      </c>
      <c r="E134" s="5" t="inlineStr">
        <is>
          <t>Rent roll export</t>
        </is>
      </c>
      <c r="F134" s="26" t="inlineStr">
        <is>
          <t>Unit mix</t>
        </is>
      </c>
      <c r="G134" s="26" t="inlineStr">
        <is>
          <t>yes</t>
        </is>
      </c>
      <c r="H134" s="26" t="inlineStr">
        <is>
          <t>3.0</t>
        </is>
      </c>
    </row>
    <row r="135">
      <c r="A135" s="5" t="inlineStr">
        <is>
          <t>Rent roll — unit</t>
        </is>
      </c>
      <c r="B135" s="5" t="inlineStr">
        <is>
          <t>baths</t>
        </is>
      </c>
      <c r="C135" s="5" t="inlineStr">
        <is>
          <t>number</t>
        </is>
      </c>
      <c r="D135" s="26" t="inlineStr">
        <is>
          <t>Bathrooms.</t>
        </is>
      </c>
      <c r="E135" s="5" t="inlineStr">
        <is>
          <t>Rent roll export</t>
        </is>
      </c>
      <c r="F135" s="26" t="inlineStr">
        <is>
          <t>Unit mix</t>
        </is>
      </c>
      <c r="G135" s="26" t="inlineStr">
        <is>
          <t>yes</t>
        </is>
      </c>
      <c r="H135" s="26" t="inlineStr">
        <is>
          <t>2.0</t>
        </is>
      </c>
    </row>
    <row r="136">
      <c r="A136" s="5" t="inlineStr">
        <is>
          <t>Rent roll — unit</t>
        </is>
      </c>
      <c r="B136" s="5" t="inlineStr">
        <is>
          <t>sqft</t>
        </is>
      </c>
      <c r="C136" s="5" t="inlineStr">
        <is>
          <t>number</t>
        </is>
      </c>
      <c r="D136" s="26" t="inlineStr">
        <is>
          <t>Square footage.</t>
        </is>
      </c>
      <c r="E136" s="5" t="inlineStr">
        <is>
          <t>Rent roll export</t>
        </is>
      </c>
      <c r="F136" s="26" t="inlineStr">
        <is>
          <t>Unit mix</t>
        </is>
      </c>
      <c r="G136" s="26" t="inlineStr">
        <is>
          <t>yes</t>
        </is>
      </c>
      <c r="H136" s="26" t="inlineStr">
        <is>
          <t>1,444.0</t>
        </is>
      </c>
    </row>
    <row r="137">
      <c r="A137" s="5" t="inlineStr">
        <is>
          <t>Rent roll — unit</t>
        </is>
      </c>
      <c r="B137" s="5" t="inlineStr">
        <is>
          <t>status</t>
        </is>
      </c>
      <c r="C137" s="5" t="inlineStr">
        <is>
          <t>text</t>
        </is>
      </c>
      <c r="D137" s="26" t="inlineStr">
        <is>
          <t>Occupied, vacant, or model/down.</t>
        </is>
      </c>
      <c r="E137" s="5" t="inlineStr">
        <is>
          <t>Rent roll export</t>
        </is>
      </c>
      <c r="F137" s="26" t="inlineStr">
        <is>
          <t>Occupancy</t>
        </is>
      </c>
      <c r="G137" s="26" t="inlineStr">
        <is>
          <t>yes</t>
        </is>
      </c>
      <c r="H137" s="26" t="inlineStr">
        <is>
          <t>Occupied</t>
        </is>
      </c>
    </row>
    <row r="138">
      <c r="A138" s="5" t="inlineStr">
        <is>
          <t>Rent roll — unit</t>
        </is>
      </c>
      <c r="B138" s="5" t="inlineStr">
        <is>
          <t>lease_start</t>
        </is>
      </c>
      <c r="C138" s="5" t="inlineStr">
        <is>
          <t>date</t>
        </is>
      </c>
      <c r="D138" s="26" t="inlineStr">
        <is>
          <t>Lease start. A value the source gave as text stays text — a date that arrives as 'n/a' is not coerced into 1899.</t>
        </is>
      </c>
      <c r="E138" s="5" t="inlineStr">
        <is>
          <t>Rent roll export</t>
        </is>
      </c>
      <c r="F138" s="26" t="inlineStr">
        <is>
          <t>Reference only — not a model input</t>
        </is>
      </c>
      <c r="G138" s="26" t="inlineStr">
        <is>
          <t>yes</t>
        </is>
      </c>
      <c r="H138" s="26" t="inlineStr">
        <is>
          <t>2026-06-01</t>
        </is>
      </c>
    </row>
    <row r="139">
      <c r="A139" s="5" t="inlineStr">
        <is>
          <t>Rent roll — unit</t>
        </is>
      </c>
      <c r="B139" s="5" t="inlineStr">
        <is>
          <t>move_in</t>
        </is>
      </c>
      <c r="C139" s="5" t="inlineStr">
        <is>
          <t>date</t>
        </is>
      </c>
      <c r="D139" s="26" t="inlineStr">
        <is>
          <t>Move-in date. Turnover is counted by move-in, not by lease start.</t>
        </is>
      </c>
      <c r="E139" s="5" t="inlineStr">
        <is>
          <t>Rent roll export</t>
        </is>
      </c>
      <c r="F139" s="26" t="inlineStr">
        <is>
          <t>Turnover</t>
        </is>
      </c>
      <c r="G139" s="26" t="inlineStr">
        <is>
          <t>yes</t>
        </is>
      </c>
      <c r="H139" s="26" t="inlineStr">
        <is>
          <t>2019-09-25</t>
        </is>
      </c>
    </row>
    <row r="140">
      <c r="A140" s="5" t="inlineStr">
        <is>
          <t>Rent roll — unit</t>
        </is>
      </c>
      <c r="B140" s="5" t="inlineStr">
        <is>
          <t>lease_type</t>
        </is>
      </c>
      <c r="C140" s="5" t="inlineStr">
        <is>
          <t>text</t>
        </is>
      </c>
      <c r="D140" s="26" t="inlineStr">
        <is>
          <t>New, Renewal, or blank. Blank means the source could not support a classification — never a guess, never a blend.</t>
        </is>
      </c>
      <c r="E140" s="5" t="inlineStr">
        <is>
          <t>Derived by the pipeline</t>
        </is>
      </c>
      <c r="F140" s="26" t="inlineStr">
        <is>
          <t>New-vs-renewal split</t>
        </is>
      </c>
      <c r="G140" s="26" t="inlineStr">
        <is>
          <t>yes</t>
        </is>
      </c>
      <c r="H140" s="26" t="inlineStr">
        <is>
          <t>—</t>
        </is>
      </c>
    </row>
    <row r="141">
      <c r="A141" s="5" t="inlineStr">
        <is>
          <t>Rent roll — unit</t>
        </is>
      </c>
      <c r="B141" s="5" t="inlineStr">
        <is>
          <t>in_place_rent</t>
        </is>
      </c>
      <c r="C141" s="5" t="inlineStr">
        <is>
          <t>currency</t>
        </is>
      </c>
      <c r="D141" s="26" t="inlineStr">
        <is>
          <t>Contract rent in place.</t>
        </is>
      </c>
      <c r="E141" s="5" t="inlineStr">
        <is>
          <t>Rent roll export</t>
        </is>
      </c>
      <c r="F141" s="26" t="inlineStr">
        <is>
          <t>In-place rent</t>
        </is>
      </c>
      <c r="G141" s="26" t="inlineStr">
        <is>
          <t>yes</t>
        </is>
      </c>
      <c r="H141" s="26" t="inlineStr">
        <is>
          <t>$2,258</t>
        </is>
      </c>
    </row>
    <row r="142">
      <c r="A142" s="5" t="inlineStr">
        <is>
          <t>Rent roll — unit</t>
        </is>
      </c>
      <c r="B142" s="5" t="inlineStr">
        <is>
          <t>rent_per_sf</t>
        </is>
      </c>
      <c r="C142" s="5" t="inlineStr">
        <is>
          <t>currency</t>
        </is>
      </c>
      <c r="D142" s="26" t="inlineStr">
        <is>
          <t>In-place rent divided by square footage.</t>
        </is>
      </c>
      <c r="E142" s="5" t="inlineStr">
        <is>
          <t>Derived by the pipeline</t>
        </is>
      </c>
      <c r="F142" s="26" t="inlineStr">
        <is>
          <t>Rent per square foot</t>
        </is>
      </c>
      <c r="G142" s="26" t="inlineStr">
        <is>
          <t>yes</t>
        </is>
      </c>
      <c r="H142" s="26" t="inlineStr">
        <is>
          <t>—</t>
        </is>
      </c>
    </row>
    <row r="143">
      <c r="A143" s="4" t="inlineStr">
        <is>
          <t>Rent roll — plan</t>
        </is>
      </c>
      <c r="B143" s="4" t="n"/>
      <c r="C143" s="4" t="n"/>
      <c r="D143" s="4" t="n"/>
      <c r="E143" s="4" t="n"/>
      <c r="F143" s="4" t="n"/>
      <c r="G143" s="4" t="n"/>
      <c r="H143" s="4" t="n"/>
    </row>
    <row r="144">
      <c r="A144" s="5" t="inlineStr">
        <is>
          <t>Rent roll — plan</t>
        </is>
      </c>
      <c r="B144" s="5" t="inlineStr">
        <is>
          <t>plan_avg_sqft</t>
        </is>
      </c>
      <c r="C144" s="5" t="inlineStr">
        <is>
          <t>number</t>
        </is>
      </c>
      <c r="D144" s="26" t="inlineStr">
        <is>
          <t>Average square footage for the plan.</t>
        </is>
      </c>
      <c r="E144" s="5" t="inlineStr">
        <is>
          <t>Derived by the pipeline</t>
        </is>
      </c>
      <c r="F144" s="26" t="inlineStr">
        <is>
          <t>Unit mix — average SF</t>
        </is>
      </c>
      <c r="G144" s="26" t="inlineStr">
        <is>
          <t>yes</t>
        </is>
      </c>
      <c r="H144" s="26" t="inlineStr">
        <is>
          <t>—</t>
        </is>
      </c>
    </row>
    <row r="145">
      <c r="A145" s="5" t="inlineStr">
        <is>
          <t>Rent roll — plan</t>
        </is>
      </c>
      <c r="B145" s="5" t="inlineStr">
        <is>
          <t>plan_units</t>
        </is>
      </c>
      <c r="C145" s="5" t="inlineStr">
        <is>
          <t>integer</t>
        </is>
      </c>
      <c r="D145" s="26" t="inlineStr">
        <is>
          <t>Units in the plan.</t>
        </is>
      </c>
      <c r="E145" s="5" t="inlineStr">
        <is>
          <t>Derived by the pipeline</t>
        </is>
      </c>
      <c r="F145" s="26" t="inlineStr">
        <is>
          <t>Unit mix — count</t>
        </is>
      </c>
      <c r="G145" s="26" t="inlineStr">
        <is>
          <t>yes</t>
        </is>
      </c>
      <c r="H145" s="26" t="inlineStr">
        <is>
          <t>—</t>
        </is>
      </c>
    </row>
    <row r="146">
      <c r="A146" s="5" t="inlineStr">
        <is>
          <t>Rent roll — plan</t>
        </is>
      </c>
      <c r="B146" s="5" t="inlineStr">
        <is>
          <t>plan_occupied</t>
        </is>
      </c>
      <c r="C146" s="5" t="inlineStr">
        <is>
          <t>integer</t>
        </is>
      </c>
      <c r="D146" s="26" t="inlineStr">
        <is>
          <t>Occupied units in the plan.</t>
        </is>
      </c>
      <c r="E146" s="5" t="inlineStr">
        <is>
          <t>Derived by the pipeline</t>
        </is>
      </c>
      <c r="F146" s="26" t="inlineStr">
        <is>
          <t>Occupancy by plan</t>
        </is>
      </c>
      <c r="G146" s="26" t="inlineStr">
        <is>
          <t>yes</t>
        </is>
      </c>
      <c r="H146" s="26" t="inlineStr">
        <is>
          <t>—</t>
        </is>
      </c>
    </row>
    <row r="147">
      <c r="A147" s="5" t="inlineStr">
        <is>
          <t>Rent roll — plan</t>
        </is>
      </c>
      <c r="B147" s="5" t="inlineStr">
        <is>
          <t>plan_vacant</t>
        </is>
      </c>
      <c r="C147" s="5" t="inlineStr">
        <is>
          <t>integer</t>
        </is>
      </c>
      <c r="D147" s="26" t="inlineStr">
        <is>
          <t>Vacant units in the plan.</t>
        </is>
      </c>
      <c r="E147" s="5" t="inlineStr">
        <is>
          <t>Derived by the pipeline</t>
        </is>
      </c>
      <c r="F147" s="26" t="inlineStr">
        <is>
          <t>Occupancy by plan</t>
        </is>
      </c>
      <c r="G147" s="26" t="inlineStr">
        <is>
          <t>yes</t>
        </is>
      </c>
      <c r="H147" s="26" t="inlineStr">
        <is>
          <t>—</t>
        </is>
      </c>
    </row>
    <row r="148">
      <c r="A148" s="5" t="inlineStr">
        <is>
          <t>Rent roll — plan</t>
        </is>
      </c>
      <c r="B148" s="5" t="inlineStr">
        <is>
          <t>plan_avg_in_place_rent</t>
        </is>
      </c>
      <c r="C148" s="5" t="inlineStr">
        <is>
          <t>currency</t>
        </is>
      </c>
      <c r="D148" s="26" t="inlineStr">
        <is>
          <t>Weighted average in-place rent for the plan's occupied units.</t>
        </is>
      </c>
      <c r="E148" s="5" t="inlineStr">
        <is>
          <t>Derived by the pipeline</t>
        </is>
      </c>
      <c r="F148" s="26" t="inlineStr">
        <is>
          <t>In-place rent by plan</t>
        </is>
      </c>
      <c r="G148" s="26" t="inlineStr">
        <is>
          <t>yes</t>
        </is>
      </c>
      <c r="H148" s="26" t="inlineStr">
        <is>
          <t>—</t>
        </is>
      </c>
    </row>
    <row r="149">
      <c r="A149" s="5" t="inlineStr">
        <is>
          <t>Rent roll — plan</t>
        </is>
      </c>
      <c r="B149" s="5" t="inlineStr">
        <is>
          <t>plan_signed_rent</t>
        </is>
      </c>
      <c r="C149" s="5" t="inlineStr">
        <is>
          <t>currency</t>
        </is>
      </c>
      <c r="D149" s="26" t="inlineStr">
        <is>
          <t>Average rent on every priced, CLASSIFIED lease start (new, renewal or month-to-month) inside the lookback window; a lease the roll cannot classify is left out, so this can undercount. Context only: a blend never feeds the model.</t>
        </is>
      </c>
      <c r="E149" s="5" t="inlineStr">
        <is>
          <t>Derived by the pipeline</t>
        </is>
      </c>
      <c r="F149" s="26" t="inlineStr">
        <is>
          <t>Leases signed</t>
        </is>
      </c>
      <c r="G149" s="26" t="inlineStr">
        <is>
          <t>yes</t>
        </is>
      </c>
      <c r="H149" s="26" t="inlineStr">
        <is>
          <t>—</t>
        </is>
      </c>
    </row>
    <row r="150">
      <c r="A150" s="5" t="inlineStr">
        <is>
          <t>Rent roll — plan</t>
        </is>
      </c>
      <c r="B150" s="5" t="inlineStr">
        <is>
          <t>plan_signed_count</t>
        </is>
      </c>
      <c r="C150" s="5" t="inlineStr">
        <is>
          <t>integer</t>
        </is>
      </c>
      <c r="D150" s="26" t="inlineStr">
        <is>
          <t>How many leases were signed in the window. n/a where the roll has no usable lease-start or move-in date.</t>
        </is>
      </c>
      <c r="E150" s="5" t="inlineStr">
        <is>
          <t>Derived by the pipeline</t>
        </is>
      </c>
      <c r="F150" s="26" t="inlineStr">
        <is>
          <t>Sample size</t>
        </is>
      </c>
      <c r="G150" s="26" t="inlineStr">
        <is>
          <t>yes</t>
        </is>
      </c>
      <c r="H150" s="26" t="inlineStr">
        <is>
          <t>—</t>
        </is>
      </c>
    </row>
    <row r="151">
      <c r="A151" s="5" t="inlineStr">
        <is>
          <t>Rent roll — plan</t>
        </is>
      </c>
      <c r="B151" s="5" t="inlineStr">
        <is>
          <t>plan_movein_rent</t>
        </is>
      </c>
      <c r="C151" s="5" t="inlineStr">
        <is>
          <t>currency</t>
        </is>
      </c>
      <c r="D151" s="26" t="inlineStr">
        <is>
          <t>Average rent of residents whose move-in date falls inside the lookback window, whatever their lease type.</t>
        </is>
      </c>
      <c r="E151" s="5" t="inlineStr">
        <is>
          <t>Derived by the pipeline</t>
        </is>
      </c>
      <c r="F151" s="26" t="inlineStr">
        <is>
          <t>New move-in rent evidence</t>
        </is>
      </c>
      <c r="G151" s="26" t="inlineStr">
        <is>
          <t>yes</t>
        </is>
      </c>
      <c r="H151" s="26" t="inlineStr">
        <is>
          <t>—</t>
        </is>
      </c>
    </row>
    <row r="152">
      <c r="A152" s="5" t="inlineStr">
        <is>
          <t>Rent roll — plan</t>
        </is>
      </c>
      <c r="B152" s="5" t="inlineStr">
        <is>
          <t>plan_movein_count</t>
        </is>
      </c>
      <c r="C152" s="5" t="inlineStr">
        <is>
          <t>integer</t>
        </is>
      </c>
      <c r="D152" s="26" t="inlineStr">
        <is>
          <t>How many move-ins the average rests on. A thin count is visible rather than implied.</t>
        </is>
      </c>
      <c r="E152" s="5" t="inlineStr">
        <is>
          <t>Derived by the pipeline</t>
        </is>
      </c>
      <c r="F152" s="26" t="inlineStr">
        <is>
          <t>Sample size</t>
        </is>
      </c>
      <c r="G152" s="26" t="inlineStr">
        <is>
          <t>yes</t>
        </is>
      </c>
      <c r="H152" s="26" t="inlineStr">
        <is>
          <t>—</t>
        </is>
      </c>
    </row>
    <row r="153">
      <c r="A153" s="5" t="inlineStr">
        <is>
          <t>Rent roll — plan</t>
        </is>
      </c>
      <c r="B153" s="5" t="inlineStr">
        <is>
          <t>plan_market_rent_for_model</t>
        </is>
      </c>
      <c r="C153" s="5" t="inlineStr">
        <is>
          <t>currency</t>
        </is>
      </c>
      <c r="D153" s="26" t="inlineStr">
        <is>
          <t>The plan's rent to underwrite: new move-in rent where one exists, otherwise in-place. This is the column a financial model consumes.</t>
        </is>
      </c>
      <c r="E153" s="5" t="inlineStr">
        <is>
          <t>Derived by the pipeline</t>
        </is>
      </c>
      <c r="F153" s="26" t="inlineStr">
        <is>
          <t>Unit-mix market rent</t>
        </is>
      </c>
      <c r="G153" s="26" t="inlineStr">
        <is>
          <t>yes</t>
        </is>
      </c>
      <c r="H153" s="26" t="inlineStr">
        <is>
          <t>—</t>
        </is>
      </c>
    </row>
    <row r="154">
      <c r="A154" s="5" t="inlineStr">
        <is>
          <t>Rent roll — plan</t>
        </is>
      </c>
      <c r="B154" s="5" t="inlineStr">
        <is>
          <t>plan_market_rent_basis</t>
        </is>
      </c>
      <c r="C154" s="5" t="inlineStr">
        <is>
          <t>text</t>
        </is>
      </c>
      <c r="D154" s="26" t="inlineStr">
        <is>
          <t>Which of the two fired, stated per plan.</t>
        </is>
      </c>
      <c r="E154" s="5" t="inlineStr">
        <is>
          <t>Derived by the pipeline</t>
        </is>
      </c>
      <c r="F154" s="26" t="inlineStr">
        <is>
          <t>Reference only — not a model input</t>
        </is>
      </c>
      <c r="G154" s="26" t="inlineStr">
        <is>
          <t>yes</t>
        </is>
      </c>
      <c r="H154" s="26" t="inlineStr">
        <is>
          <t>—</t>
        </is>
      </c>
    </row>
    <row r="155">
      <c r="A155" s="4" t="inlineStr">
        <is>
          <t>Rent roll — totals</t>
        </is>
      </c>
      <c r="B155" s="4" t="n"/>
      <c r="C155" s="4" t="n"/>
      <c r="D155" s="4" t="n"/>
      <c r="E155" s="4" t="n"/>
      <c r="F155" s="4" t="n"/>
      <c r="G155" s="4" t="n"/>
      <c r="H155" s="4" t="n"/>
    </row>
    <row r="156">
      <c r="A156" s="5" t="inlineStr">
        <is>
          <t>Rent roll — totals</t>
        </is>
      </c>
      <c r="B156" s="5" t="inlineStr">
        <is>
          <t>reconciliation_verdict</t>
        </is>
      </c>
      <c r="C156" s="5" t="inlineStr">
        <is>
          <t>text</t>
        </is>
      </c>
      <c r="D156" s="26" t="inlineStr">
        <is>
          <t>PASS, FAIL or NOT CHECKED: the unit count (tolerance 0) and the export's stated market-rent total (tolerance $1) against what the export states, every duplicate row retaining the in-place lease, and no rent-readback mismatch.</t>
        </is>
      </c>
      <c r="E156" s="5" t="inlineStr">
        <is>
          <t>Derived by the pipeline</t>
        </is>
      </c>
      <c r="F156" s="26" t="inlineStr">
        <is>
          <t>Gate — the pack is partial until PASS</t>
        </is>
      </c>
      <c r="G156" s="26" t="inlineStr">
        <is>
          <t>yes</t>
        </is>
      </c>
      <c r="H156" s="26" t="inlineStr">
        <is>
          <t>—</t>
        </is>
      </c>
    </row>
    <row r="157">
      <c r="A157" s="5" t="inlineStr">
        <is>
          <t>Rent roll — totals</t>
        </is>
      </c>
      <c r="B157" s="5" t="inlineStr">
        <is>
          <t>total_units</t>
        </is>
      </c>
      <c r="C157" s="5" t="inlineStr">
        <is>
          <t>integer</t>
        </is>
      </c>
      <c r="D157" s="26" t="inlineStr">
        <is>
          <t>Units on the roll.</t>
        </is>
      </c>
      <c r="E157" s="5" t="inlineStr">
        <is>
          <t>Derived by the pipeline</t>
        </is>
      </c>
      <c r="F157" s="26" t="inlineStr">
        <is>
          <t>Unit count cross-check</t>
        </is>
      </c>
      <c r="G157" s="26" t="inlineStr">
        <is>
          <t>yes</t>
        </is>
      </c>
      <c r="H157" s="26" t="inlineStr">
        <is>
          <t>—</t>
        </is>
      </c>
    </row>
    <row r="158">
      <c r="A158" s="5" t="inlineStr">
        <is>
          <t>Rent roll — totals</t>
        </is>
      </c>
      <c r="B158" s="5" t="inlineStr">
        <is>
          <t>occupied_units</t>
        </is>
      </c>
      <c r="C158" s="5" t="inlineStr">
        <is>
          <t>integer</t>
        </is>
      </c>
      <c r="D158" s="26" t="inlineStr">
        <is>
          <t>Occupied units.</t>
        </is>
      </c>
      <c r="E158" s="5" t="inlineStr">
        <is>
          <t>Derived by the pipeline</t>
        </is>
      </c>
      <c r="F158" s="26" t="inlineStr">
        <is>
          <t>Occupancy</t>
        </is>
      </c>
      <c r="G158" s="26" t="inlineStr">
        <is>
          <t>yes</t>
        </is>
      </c>
      <c r="H158" s="26" t="inlineStr">
        <is>
          <t>—</t>
        </is>
      </c>
    </row>
    <row r="159">
      <c r="A159" s="5" t="inlineStr">
        <is>
          <t>Rent roll — totals</t>
        </is>
      </c>
      <c r="B159" s="5" t="inlineStr">
        <is>
          <t>vacant_units</t>
        </is>
      </c>
      <c r="C159" s="5" t="inlineStr">
        <is>
          <t>integer</t>
        </is>
      </c>
      <c r="D159" s="26" t="inlineStr">
        <is>
          <t>Vacant units.</t>
        </is>
      </c>
      <c r="E159" s="5" t="inlineStr">
        <is>
          <t>Derived by the pipeline</t>
        </is>
      </c>
      <c r="F159" s="26" t="inlineStr">
        <is>
          <t>Occupancy</t>
        </is>
      </c>
      <c r="G159" s="26" t="inlineStr">
        <is>
          <t>yes</t>
        </is>
      </c>
      <c r="H159" s="26" t="inlineStr">
        <is>
          <t>—</t>
        </is>
      </c>
    </row>
    <row r="160">
      <c r="A160" s="5" t="inlineStr">
        <is>
          <t>Rent roll — totals</t>
        </is>
      </c>
      <c r="B160" s="5" t="inlineStr">
        <is>
          <t>occupancy</t>
        </is>
      </c>
      <c r="C160" s="5" t="inlineStr">
        <is>
          <t>percent</t>
        </is>
      </c>
      <c r="D160" s="26" t="inlineStr">
        <is>
          <t>Occupied over total.</t>
        </is>
      </c>
      <c r="E160" s="5" t="inlineStr">
        <is>
          <t>Derived by the pipeline</t>
        </is>
      </c>
      <c r="F160" s="26" t="inlineStr">
        <is>
          <t>Vacancy assumption</t>
        </is>
      </c>
      <c r="G160" s="26" t="inlineStr">
        <is>
          <t>yes</t>
        </is>
      </c>
      <c r="H160" s="26" t="inlineStr">
        <is>
          <t>—</t>
        </is>
      </c>
    </row>
    <row r="161">
      <c r="A161" s="5" t="inlineStr">
        <is>
          <t>Rent roll — totals</t>
        </is>
      </c>
      <c r="B161" s="5" t="inlineStr">
        <is>
          <t>vacancy</t>
        </is>
      </c>
      <c r="C161" s="5" t="inlineStr">
        <is>
          <t>percent</t>
        </is>
      </c>
      <c r="D161" s="26" t="inlineStr">
        <is>
          <t>One less occupancy. The physical-vacancy input.</t>
        </is>
      </c>
      <c r="E161" s="5" t="inlineStr">
        <is>
          <t>Derived by the pipeline</t>
        </is>
      </c>
      <c r="F161" s="26" t="inlineStr">
        <is>
          <t>Vacancy assumption</t>
        </is>
      </c>
      <c r="G161" s="26" t="inlineStr">
        <is>
          <t>yes</t>
        </is>
      </c>
      <c r="H161" s="26" t="inlineStr">
        <is>
          <t>—</t>
        </is>
      </c>
    </row>
    <row r="162">
      <c r="A162" s="5" t="inlineStr">
        <is>
          <t>Rent roll — totals</t>
        </is>
      </c>
      <c r="B162" s="5" t="inlineStr">
        <is>
          <t>wavg_in_place_rent</t>
        </is>
      </c>
      <c r="C162" s="5" t="inlineStr">
        <is>
          <t>currency</t>
        </is>
      </c>
      <c r="D162" s="26" t="inlineStr">
        <is>
          <t>Unit-weighted in-place rent across the property.</t>
        </is>
      </c>
      <c r="E162" s="5" t="inlineStr">
        <is>
          <t>Derived by the pipeline</t>
        </is>
      </c>
      <c r="F162" s="26" t="inlineStr">
        <is>
          <t>In-place rent</t>
        </is>
      </c>
      <c r="G162" s="26" t="inlineStr">
        <is>
          <t>yes</t>
        </is>
      </c>
      <c r="H162" s="26" t="inlineStr">
        <is>
          <t>—</t>
        </is>
      </c>
    </row>
    <row r="163">
      <c r="A163" s="5" t="inlineStr">
        <is>
          <t>Rent roll — totals</t>
        </is>
      </c>
      <c r="B163" s="5" t="inlineStr">
        <is>
          <t>wavg_market_rent_for_model</t>
        </is>
      </c>
      <c r="C163" s="5" t="inlineStr">
        <is>
          <t>currency</t>
        </is>
      </c>
      <c r="D163" s="26" t="inlineStr">
        <is>
          <t>Unit-weighted market rent for model across the property.</t>
        </is>
      </c>
      <c r="E163" s="5" t="inlineStr">
        <is>
          <t>Derived by the pipeline</t>
        </is>
      </c>
      <c r="F163" s="26" t="inlineStr">
        <is>
          <t>Market rent</t>
        </is>
      </c>
      <c r="G163" s="26" t="inlineStr">
        <is>
          <t>yes</t>
        </is>
      </c>
      <c r="H163" s="26" t="inlineStr">
        <is>
          <t>—</t>
        </is>
      </c>
    </row>
    <row r="164">
      <c r="A164" s="5" t="inlineStr">
        <is>
          <t>Rent roll — totals</t>
        </is>
      </c>
      <c r="B164" s="5" t="inlineStr">
        <is>
          <t>annualized_turnover</t>
        </is>
      </c>
      <c r="C164" s="5" t="inlineStr">
        <is>
          <t>percent</t>
        </is>
      </c>
      <c r="D164" s="26" t="inlineStr">
        <is>
          <t>Move-ins inside the lookback window, annualized against unit count.</t>
        </is>
      </c>
      <c r="E164" s="5" t="inlineStr">
        <is>
          <t>Derived by the pipeline</t>
        </is>
      </c>
      <c r="F164" s="26" t="inlineStr">
        <is>
          <t>Turnover assumption</t>
        </is>
      </c>
      <c r="G164" s="26" t="inlineStr">
        <is>
          <t>yes</t>
        </is>
      </c>
      <c r="H164" s="26" t="inlineStr">
        <is>
          <t>—</t>
        </is>
      </c>
    </row>
    <row r="165">
      <c r="A165" s="5" t="inlineStr">
        <is>
          <t>Rent roll — totals</t>
        </is>
      </c>
      <c r="B165" s="5" t="inlineStr">
        <is>
          <t>lookback_months</t>
        </is>
      </c>
      <c r="C165" s="5" t="inlineStr">
        <is>
          <t>integer</t>
        </is>
      </c>
      <c r="D165" s="26" t="inlineStr">
        <is>
          <t>Length of the move-in and lease-signed window, measured back from the roll's as-of date.</t>
        </is>
      </c>
      <c r="E165" s="5" t="inlineStr">
        <is>
          <t>Supplied by the operator</t>
        </is>
      </c>
      <c r="F165" s="26" t="inlineStr">
        <is>
          <t>Reference only — not a model input</t>
        </is>
      </c>
      <c r="G165" s="26" t="inlineStr">
        <is>
          <t>yes</t>
        </is>
      </c>
      <c r="H165" s="26" t="inlineStr">
        <is>
          <t>12</t>
        </is>
      </c>
    </row>
    <row r="166">
      <c r="A166" s="5" t="inlineStr">
        <is>
          <t>Rent roll — totals</t>
        </is>
      </c>
      <c r="B166" s="5" t="inlineStr">
        <is>
          <t>new_tenant_tolerance_days</t>
        </is>
      </c>
      <c r="C166" s="5" t="inlineStr">
        <is>
          <t>integer</t>
        </is>
      </c>
      <c r="D166" s="26" t="inlineStr">
        <is>
          <t>How far lease start may sit from move-in before a lease stops counting as a new tenant. A knob on the output, not a constant buried in code.</t>
        </is>
      </c>
      <c r="E166" s="5" t="inlineStr">
        <is>
          <t>Supplied by the operator</t>
        </is>
      </c>
      <c r="F166" s="26" t="inlineStr">
        <is>
          <t>Reference only — not a model input</t>
        </is>
      </c>
      <c r="G166" s="26" t="inlineStr">
        <is>
          <t>yes</t>
        </is>
      </c>
      <c r="H166" s="26" t="inlineStr">
        <is>
          <t>31</t>
        </is>
      </c>
    </row>
    <row r="167">
      <c r="A167" s="5" t="inlineStr">
        <is>
          <t>Rent roll — totals</t>
        </is>
      </c>
      <c r="B167" s="5" t="inlineStr">
        <is>
          <t>absent_reason</t>
        </is>
      </c>
      <c r="C167" s="5" t="inlineStr">
        <is>
          <t>text</t>
        </is>
      </c>
      <c r="D167" s="26" t="inlineStr">
        <is>
          <t>Why the rent-roll section is empty, when no roll was supplied. An empty block that says why is a deliverable; a block of zeroes is not.</t>
        </is>
      </c>
      <c r="E167" s="5" t="inlineStr">
        <is>
          <t>Derived by the pipeline</t>
        </is>
      </c>
      <c r="F167" s="26" t="inlineStr">
        <is>
          <t>Reference only — not a model input</t>
        </is>
      </c>
      <c r="G167" s="26" t="inlineStr">
        <is>
          <t>yes</t>
        </is>
      </c>
      <c r="H167" s="26" t="inlineStr">
        <is>
          <t>—</t>
        </is>
      </c>
    </row>
    <row r="168">
      <c r="A168" s="5" t="inlineStr">
        <is>
          <t>Rent roll — totals</t>
        </is>
      </c>
      <c r="B168" s="5" t="inlineStr">
        <is>
          <t>roll_as_of</t>
        </is>
      </c>
      <c r="C168" s="5" t="inlineStr">
        <is>
          <t>date</t>
        </is>
      </c>
      <c r="D168" s="26" t="inlineStr">
        <is>
          <t>As-of date of the roll. Every window is measured from here.</t>
        </is>
      </c>
      <c r="E168" s="5" t="inlineStr">
        <is>
          <t>Rent roll export</t>
        </is>
      </c>
      <c r="F168" s="26" t="inlineStr">
        <is>
          <t>Analysis date</t>
        </is>
      </c>
      <c r="G168" s="26" t="inlineStr">
        <is>
          <t>yes</t>
        </is>
      </c>
      <c r="H168" s="26" t="inlineStr">
        <is>
          <t>2026-08-31</t>
        </is>
      </c>
    </row>
    <row r="169">
      <c r="A169" s="4" t="inlineStr">
        <is>
          <t>Trade-out</t>
        </is>
      </c>
      <c r="B169" s="4" t="n"/>
      <c r="C169" s="4" t="n"/>
      <c r="D169" s="4" t="n"/>
      <c r="E169" s="4" t="n"/>
      <c r="F169" s="4" t="n"/>
      <c r="G169" s="4" t="n"/>
      <c r="H169" s="4" t="n"/>
    </row>
    <row r="170">
      <c r="A170" s="5" t="inlineStr">
        <is>
          <t>Trade-out</t>
        </is>
      </c>
      <c r="B170" s="5" t="inlineStr">
        <is>
          <t>cohort</t>
        </is>
      </c>
      <c r="C170" s="5" t="inlineStr">
        <is>
          <t>text</t>
        </is>
      </c>
      <c r="D170" s="26" t="inlineStr">
        <is>
          <t>New, Renewal, or First generation.</t>
        </is>
      </c>
      <c r="E170" s="5" t="inlineStr">
        <is>
          <t>Lease trade-out report</t>
        </is>
      </c>
      <c r="F170" s="26" t="inlineStr">
        <is>
          <t>New-vs-renewal growth evidence</t>
        </is>
      </c>
      <c r="G170" s="26" t="inlineStr">
        <is>
          <t>Internal pipeline only — The internal pipeline reads a lease trade-out report (new versus renewal rents); the demo does not ask for one.</t>
        </is>
      </c>
      <c r="H170" s="26" t="inlineStr">
        <is>
          <t>—</t>
        </is>
      </c>
    </row>
    <row r="171">
      <c r="A171" s="5" t="inlineStr">
        <is>
          <t>Trade-out</t>
        </is>
      </c>
      <c r="B171" s="5" t="inlineStr">
        <is>
          <t>cohort_leases</t>
        </is>
      </c>
      <c r="C171" s="5" t="inlineStr">
        <is>
          <t>integer</t>
        </is>
      </c>
      <c r="D171" s="26" t="inlineStr">
        <is>
          <t>Leases in the cohort.</t>
        </is>
      </c>
      <c r="E171" s="5" t="inlineStr">
        <is>
          <t>Lease trade-out report</t>
        </is>
      </c>
      <c r="F171" s="26" t="inlineStr">
        <is>
          <t>Sample size</t>
        </is>
      </c>
      <c r="G171" s="26" t="inlineStr">
        <is>
          <t>Internal pipeline only — The internal pipeline reads a lease trade-out report (new versus renewal rents); the demo does not ask for one.</t>
        </is>
      </c>
      <c r="H171" s="26" t="inlineStr">
        <is>
          <t>—</t>
        </is>
      </c>
    </row>
    <row r="172">
      <c r="A172" s="5" t="inlineStr">
        <is>
          <t>Trade-out</t>
        </is>
      </c>
      <c r="B172" s="5" t="inlineStr">
        <is>
          <t>cohort_prior_rent</t>
        </is>
      </c>
      <c r="C172" s="5" t="inlineStr">
        <is>
          <t>currency</t>
        </is>
      </c>
      <c r="D172" s="26" t="inlineStr">
        <is>
          <t>Average rent before the trade.</t>
        </is>
      </c>
      <c r="E172" s="5" t="inlineStr">
        <is>
          <t>Lease trade-out report</t>
        </is>
      </c>
      <c r="F172" s="26" t="inlineStr">
        <is>
          <t>Prior rent</t>
        </is>
      </c>
      <c r="G172" s="26" t="inlineStr">
        <is>
          <t>Internal pipeline only — The internal pipeline reads a lease trade-out report (new versus renewal rents); the demo does not ask for one.</t>
        </is>
      </c>
      <c r="H172" s="26" t="inlineStr">
        <is>
          <t>—</t>
        </is>
      </c>
    </row>
    <row r="173">
      <c r="A173" s="5" t="inlineStr">
        <is>
          <t>Trade-out</t>
        </is>
      </c>
      <c r="B173" s="5" t="inlineStr">
        <is>
          <t>cohort_new_rent_gross</t>
        </is>
      </c>
      <c r="C173" s="5" t="inlineStr">
        <is>
          <t>currency</t>
        </is>
      </c>
      <c r="D173" s="26" t="inlineStr">
        <is>
          <t>Average new rent before concessions.</t>
        </is>
      </c>
      <c r="E173" s="5" t="inlineStr">
        <is>
          <t>Lease trade-out report</t>
        </is>
      </c>
      <c r="F173" s="26" t="inlineStr">
        <is>
          <t>Gross trade-out</t>
        </is>
      </c>
      <c r="G173" s="26" t="inlineStr">
        <is>
          <t>Internal pipeline only — The internal pipeline reads a lease trade-out report (new versus renewal rents); the demo does not ask for one.</t>
        </is>
      </c>
      <c r="H173" s="26" t="inlineStr">
        <is>
          <t>—</t>
        </is>
      </c>
    </row>
    <row r="174">
      <c r="A174" s="5" t="inlineStr">
        <is>
          <t>Trade-out</t>
        </is>
      </c>
      <c r="B174" s="5" t="inlineStr">
        <is>
          <t>cohort_new_rent_effective</t>
        </is>
      </c>
      <c r="C174" s="5" t="inlineStr">
        <is>
          <t>currency</t>
        </is>
      </c>
      <c r="D174" s="26" t="inlineStr">
        <is>
          <t>Average new rent after concessions. Quoted separately from gross, because quoting one as the other is how a trade-out number becomes wrong.</t>
        </is>
      </c>
      <c r="E174" s="5" t="inlineStr">
        <is>
          <t>Lease trade-out report</t>
        </is>
      </c>
      <c r="F174" s="26" t="inlineStr">
        <is>
          <t>Effective trade-out</t>
        </is>
      </c>
      <c r="G174" s="26" t="inlineStr">
        <is>
          <t>Internal pipeline only — The internal pipeline reads a lease trade-out report (new versus renewal rents); the demo does not ask for one.</t>
        </is>
      </c>
      <c r="H174" s="26" t="inlineStr">
        <is>
          <t>—</t>
        </is>
      </c>
    </row>
    <row r="175">
      <c r="A175" s="5" t="inlineStr">
        <is>
          <t>Trade-out</t>
        </is>
      </c>
      <c r="B175" s="5" t="inlineStr">
        <is>
          <t>cohort_gross_change_pct</t>
        </is>
      </c>
      <c r="C175" s="5" t="inlineStr">
        <is>
          <t>percent</t>
        </is>
      </c>
      <c r="D175" s="26" t="inlineStr">
        <is>
          <t>Gross change over prior rent.</t>
        </is>
      </c>
      <c r="E175" s="5" t="inlineStr">
        <is>
          <t>Derived by the pipeline</t>
        </is>
      </c>
      <c r="F175" s="26" t="inlineStr">
        <is>
          <t>Rent growth evidence</t>
        </is>
      </c>
      <c r="G175" s="26" t="inlineStr">
        <is>
          <t>yes</t>
        </is>
      </c>
      <c r="H175" s="26" t="inlineStr">
        <is>
          <t>—</t>
        </is>
      </c>
    </row>
    <row r="176">
      <c r="A176" s="5" t="inlineStr">
        <is>
          <t>Trade-out</t>
        </is>
      </c>
      <c r="B176" s="5" t="inlineStr">
        <is>
          <t>cohort_effective_change_pct</t>
        </is>
      </c>
      <c r="C176" s="5" t="inlineStr">
        <is>
          <t>percent</t>
        </is>
      </c>
      <c r="D176" s="26" t="inlineStr">
        <is>
          <t>Effective change over prior rent.</t>
        </is>
      </c>
      <c r="E176" s="5" t="inlineStr">
        <is>
          <t>Derived by the pipeline</t>
        </is>
      </c>
      <c r="F176" s="26" t="inlineStr">
        <is>
          <t>Rent growth evidence</t>
        </is>
      </c>
      <c r="G176" s="26" t="inlineStr">
        <is>
          <t>yes</t>
        </is>
      </c>
      <c r="H176" s="26" t="inlineStr">
        <is>
          <t>—</t>
        </is>
      </c>
    </row>
    <row r="177">
      <c r="A177" s="5" t="inlineStr">
        <is>
          <t>Trade-out</t>
        </is>
      </c>
      <c r="B177" s="5" t="inlineStr">
        <is>
          <t>absent_reason</t>
        </is>
      </c>
      <c r="C177" s="5" t="inlineStr">
        <is>
          <t>text</t>
        </is>
      </c>
      <c r="D177" s="26" t="inlineStr">
        <is>
          <t>Why the block is empty, when no trade-out report exists. An empty block that says why is a deliverable; a block of plausible numbers is not.</t>
        </is>
      </c>
      <c r="E177" s="5" t="inlineStr">
        <is>
          <t>Derived by the pipeline</t>
        </is>
      </c>
      <c r="F177" s="26" t="inlineStr">
        <is>
          <t>Reference only — not a model input</t>
        </is>
      </c>
      <c r="G177" s="26" t="inlineStr">
        <is>
          <t>Internal pipeline only — The internal pipeline reads a lease trade-out report (new versus renewal rents); the demo does not ask for one.</t>
        </is>
      </c>
      <c r="H177" s="26" t="inlineStr">
        <is>
          <t>Lease trade-out is an internal-pipeline input: the demo does not ask for a trade-out report, on the sample or on an upload.</t>
        </is>
      </c>
    </row>
    <row r="178">
      <c r="A178" s="4" t="inlineStr">
        <is>
          <t>Comps</t>
        </is>
      </c>
      <c r="B178" s="4" t="n"/>
      <c r="C178" s="4" t="n"/>
      <c r="D178" s="4" t="n"/>
      <c r="E178" s="4" t="n"/>
      <c r="F178" s="4" t="n"/>
      <c r="G178" s="4" t="n"/>
      <c r="H178" s="4" t="n"/>
    </row>
    <row r="179">
      <c r="A179" s="5" t="inlineStr">
        <is>
          <t>Comps</t>
        </is>
      </c>
      <c r="B179" s="5" t="inlineStr">
        <is>
          <t>comp_community</t>
        </is>
      </c>
      <c r="C179" s="5" t="inlineStr">
        <is>
          <t>text</t>
        </is>
      </c>
      <c r="D179" s="26" t="inlineStr">
        <is>
          <t>Comparable community name.</t>
        </is>
      </c>
      <c r="E179" s="5" t="inlineStr">
        <is>
          <t>Operator's own weekly rent scrape</t>
        </is>
      </c>
      <c r="F179" s="26" t="inlineStr">
        <is>
          <t>Comp set</t>
        </is>
      </c>
      <c r="G179" s="26" t="inlineStr">
        <is>
          <t>yes</t>
        </is>
      </c>
      <c r="H179" s="26" t="inlineStr">
        <is>
          <t>Saltera Apartments</t>
        </is>
      </c>
    </row>
    <row r="180">
      <c r="A180" s="5" t="inlineStr">
        <is>
          <t>Comps</t>
        </is>
      </c>
      <c r="B180" s="5" t="inlineStr">
        <is>
          <t>comp_distance_mi</t>
        </is>
      </c>
      <c r="C180" s="5" t="inlineStr">
        <is>
          <t>number</t>
        </is>
      </c>
      <c r="D180" s="26" t="inlineStr">
        <is>
          <t>Straight-line distance from the subject.</t>
        </is>
      </c>
      <c r="E180" s="5" t="inlineStr">
        <is>
          <t>Derived by the pipeline</t>
        </is>
      </c>
      <c r="F180" s="26" t="inlineStr">
        <is>
          <t>Comp set</t>
        </is>
      </c>
      <c r="G180" s="26" t="inlineStr">
        <is>
          <t>yes</t>
        </is>
      </c>
      <c r="H180" s="26" t="inlineStr">
        <is>
          <t>0.1</t>
        </is>
      </c>
    </row>
    <row r="181">
      <c r="A181" s="5" t="inlineStr">
        <is>
          <t>Comps</t>
        </is>
      </c>
      <c r="B181" s="5" t="inlineStr">
        <is>
          <t>comp_floor_plan</t>
        </is>
      </c>
      <c r="C181" s="5" t="inlineStr">
        <is>
          <t>text</t>
        </is>
      </c>
      <c r="D181" s="26" t="inlineStr">
        <is>
          <t>Comp floor plan the row describes. Comps are stated per plan, not as one blended community number.</t>
        </is>
      </c>
      <c r="E181" s="5" t="inlineStr">
        <is>
          <t>Operator's own weekly rent scrape</t>
        </is>
      </c>
      <c r="F181" s="26" t="inlineStr">
        <is>
          <t>Comp set</t>
        </is>
      </c>
      <c r="G181" s="26" t="inlineStr">
        <is>
          <t>yes</t>
        </is>
      </c>
      <c r="H181" s="26" t="inlineStr">
        <is>
          <t>1BR — group floor (lowest listing); the lowest-five measure was not provided</t>
        </is>
      </c>
    </row>
    <row r="182">
      <c r="A182" s="5" t="inlineStr">
        <is>
          <t>Comps</t>
        </is>
      </c>
      <c r="B182" s="5" t="inlineStr">
        <is>
          <t>comp_tier</t>
        </is>
      </c>
      <c r="C182" s="5" t="inlineStr">
        <is>
          <t>integer</t>
        </is>
      </c>
      <c r="D182" s="26" t="inlineStr">
        <is>
          <t>1 = top comps (the closest five matching the subject's product and vintage), 2 = additional comps (the next fifteen). The identity-only third group carries no rent; since 2026-09-28 it is carried in the interchange file only and is not shown as a table.</t>
        </is>
      </c>
      <c r="E182" s="5" t="inlineStr">
        <is>
          <t>Derived by the pipeline</t>
        </is>
      </c>
      <c r="F182" s="26" t="inlineStr">
        <is>
          <t>Comp set</t>
        </is>
      </c>
      <c r="G182" s="26" t="inlineStr">
        <is>
          <t>yes</t>
        </is>
      </c>
      <c r="H182" s="26" t="inlineStr">
        <is>
          <t>1</t>
        </is>
      </c>
    </row>
    <row r="183">
      <c r="A183" s="5" t="inlineStr">
        <is>
          <t>Comps</t>
        </is>
      </c>
      <c r="B183" s="5" t="inlineStr">
        <is>
          <t>comp_year_built</t>
        </is>
      </c>
      <c r="C183" s="5" t="inlineStr">
        <is>
          <t>integer</t>
        </is>
      </c>
      <c r="D183" s="26" t="inlineStr">
        <is>
          <t>Comp vintage where one is published. Blank means nobody published one — the tracker has no year-built column — never that the community is new.</t>
        </is>
      </c>
      <c r="E183" s="5" t="inlineStr">
        <is>
          <t>Operator's own weekly rent scrape</t>
        </is>
      </c>
      <c r="F183" s="26" t="inlineStr">
        <is>
          <t>Comp set</t>
        </is>
      </c>
      <c r="G183" s="26" t="inlineStr">
        <is>
          <t>yes</t>
        </is>
      </c>
      <c r="H183" s="26" t="inlineStr">
        <is>
          <t>1984</t>
        </is>
      </c>
    </row>
    <row r="184">
      <c r="A184" s="5" t="inlineStr">
        <is>
          <t>Comps</t>
        </is>
      </c>
      <c r="B184" s="5" t="inlineStr">
        <is>
          <t>comp_year_built_source</t>
        </is>
      </c>
      <c r="C184" s="5" t="inlineStr">
        <is>
          <t>text</t>
        </is>
      </c>
      <c r="D184" s="26" t="inlineStr">
        <is>
          <t>Where that year came from. Blank alongside a blank year; a year with no source is rejected at validation.</t>
        </is>
      </c>
      <c r="E184" s="5" t="inlineStr">
        <is>
          <t>Operator's own weekly rent scrape</t>
        </is>
      </c>
      <c r="F184" s="26" t="inlineStr">
        <is>
          <t>Reference only — not a model input</t>
        </is>
      </c>
      <c r="G184" s="26" t="inlineStr">
        <is>
          <t>yes</t>
        </is>
      </c>
      <c r="H184" s="26" t="inlineStr">
        <is>
          <t>vendor note on the tracked community record, via the market-report service</t>
        </is>
      </c>
    </row>
    <row r="185">
      <c r="A185" s="5" t="inlineStr">
        <is>
          <t>Comps</t>
        </is>
      </c>
      <c r="B185" s="5" t="inlineStr">
        <is>
          <t>nearby_community</t>
        </is>
      </c>
      <c r="C185" s="5" t="inlineStr">
        <is>
          <t>text</t>
        </is>
      </c>
      <c r="D185" s="26" t="inlineStr">
        <is>
          <t>A tracked community inside the radius that is NOT a comp. Carried in the interchange file; the ~340-row table was taken off the page on 2026-09-28.</t>
        </is>
      </c>
      <c r="E185" s="5" t="inlineStr">
        <is>
          <t>Operator's own weekly rent scrape</t>
        </is>
      </c>
      <c r="F185" s="26" t="inlineStr">
        <is>
          <t>Market context</t>
        </is>
      </c>
      <c r="G185" s="26" t="inlineStr">
        <is>
          <t>yes</t>
        </is>
      </c>
      <c r="H185" s="26" t="inlineStr">
        <is>
          <t>Trails at Harris</t>
        </is>
      </c>
    </row>
    <row r="186">
      <c r="A186" s="5" t="inlineStr">
        <is>
          <t>Comps</t>
        </is>
      </c>
      <c r="B186" s="5" t="inlineStr">
        <is>
          <t>nearby_address</t>
        </is>
      </c>
      <c r="C186" s="5" t="inlineStr">
        <is>
          <t>text</t>
        </is>
      </c>
      <c r="D186" s="26" t="inlineStr">
        <is>
          <t>Its address, so the reader can place it.</t>
        </is>
      </c>
      <c r="E186" s="5" t="inlineStr">
        <is>
          <t>Operator's own weekly rent scrape</t>
        </is>
      </c>
      <c r="F186" s="26" t="inlineStr">
        <is>
          <t>Market context</t>
        </is>
      </c>
      <c r="G186" s="26" t="inlineStr">
        <is>
          <t>yes</t>
        </is>
      </c>
      <c r="H186" s="26" t="inlineStr">
        <is>
          <t>1653 S Harris Dr, Mesa, AZ 85204</t>
        </is>
      </c>
    </row>
    <row r="187">
      <c r="A187" s="5" t="inlineStr">
        <is>
          <t>Comps</t>
        </is>
      </c>
      <c r="B187" s="5" t="inlineStr">
        <is>
          <t>nearby_distance_mi</t>
        </is>
      </c>
      <c r="C187" s="5" t="inlineStr">
        <is>
          <t>number</t>
        </is>
      </c>
      <c r="D187" s="26" t="inlineStr">
        <is>
          <t>Distance from the subject.</t>
        </is>
      </c>
      <c r="E187" s="5" t="inlineStr">
        <is>
          <t>Derived by the pipeline</t>
        </is>
      </c>
      <c r="F187" s="26" t="inlineStr">
        <is>
          <t>Market context</t>
        </is>
      </c>
      <c r="G187" s="26" t="inlineStr">
        <is>
          <t>yes</t>
        </is>
      </c>
      <c r="H187" s="26" t="inlineStr">
        <is>
          <t>0.9</t>
        </is>
      </c>
    </row>
    <row r="188">
      <c r="A188" s="5" t="inlineStr">
        <is>
          <t>Comps</t>
        </is>
      </c>
      <c r="B188" s="5" t="inlineStr">
        <is>
          <t>nearby_units</t>
        </is>
      </c>
      <c r="C188" s="5" t="inlineStr">
        <is>
          <t>integer</t>
        </is>
      </c>
      <c r="D188" s="26" t="inlineStr">
        <is>
          <t>Unit count where the registry has one. The registry was seeded from licensed data exports, so the public demo withholds it.</t>
        </is>
      </c>
      <c r="E188" s="5" t="inlineStr">
        <is>
          <t>Operator's own weekly rent scrape</t>
        </is>
      </c>
      <c r="F188" s="26" t="inlineStr">
        <is>
          <t>Market context</t>
        </is>
      </c>
      <c r="G188" s="26" t="inlineStr">
        <is>
          <t>Internal pipeline only — Unit counts come from a licensed data export; the internal pipeline carries them.</t>
        </is>
      </c>
      <c r="H188" s="26" t="inlineStr">
        <is>
          <t>MISSING</t>
        </is>
      </c>
    </row>
    <row r="189">
      <c r="A189" s="5" t="inlineStr">
        <is>
          <t>Comps</t>
        </is>
      </c>
      <c r="B189" s="5" t="inlineStr">
        <is>
          <t>nearby_reason</t>
        </is>
      </c>
      <c r="C189" s="5" t="inlineStr">
        <is>
          <t>text</t>
        </is>
      </c>
      <c r="D189" s="26" t="inlineStr">
        <is>
          <t>Why it is not a comp: wrong product, vintage outside the band, no quoted rent, excluded by the tracker, or simply beyond the closest twenty. The field that answers 'why isn't the property across the street in your comp set?' for every community in the radius.</t>
        </is>
      </c>
      <c r="E189" s="5" t="inlineStr">
        <is>
          <t>Derived by the pipeline</t>
        </is>
      </c>
      <c r="F189" s="26" t="inlineStr">
        <is>
          <t>Market context</t>
        </is>
      </c>
      <c r="G189" s="26" t="inlineStr">
        <is>
          <t>yes</t>
        </is>
      </c>
      <c r="H189" s="26" t="inlineStr">
        <is>
          <t>its 2 unit group(s) were withheld (flagged for review, no bedroom count or no rent), so nothing could be quoted</t>
        </is>
      </c>
    </row>
    <row r="190">
      <c r="A190" s="5" t="inlineStr">
        <is>
          <t>Comps</t>
        </is>
      </c>
      <c r="B190" s="5" t="inlineStr">
        <is>
          <t>compset_vintage_footnote</t>
        </is>
      </c>
      <c r="C190" s="5" t="inlineStr">
        <is>
          <t>text</t>
        </is>
      </c>
      <c r="D190" s="26" t="inlineStr">
        <is>
          <t>The disclosure on the detailed tiers: the band applied, and whether some communities carried no year and so could not be tested.</t>
        </is>
      </c>
      <c r="E190" s="5" t="inlineStr">
        <is>
          <t>Derived by the pipeline</t>
        </is>
      </c>
      <c r="F190" s="26" t="inlineStr">
        <is>
          <t>Reference only — not a model input</t>
        </is>
      </c>
      <c r="G190" s="26" t="inlineStr">
        <is>
          <t>yes</t>
        </is>
      </c>
      <c r="H190" s="26" t="inlineStr">
        <is>
          <t>Vintage filter: +/-10 years of the subject's year built.</t>
        </is>
      </c>
    </row>
    <row r="191">
      <c r="A191" s="5" t="inlineStr">
        <is>
          <t>Comps</t>
        </is>
      </c>
      <c r="B191" s="5" t="inlineStr">
        <is>
          <t>comp_beds</t>
        </is>
      </c>
      <c r="C191" s="5" t="inlineStr">
        <is>
          <t>number</t>
        </is>
      </c>
      <c r="D191" s="26" t="inlineStr">
        <is>
          <t>Bedrooms in the comp plan.</t>
        </is>
      </c>
      <c r="E191" s="5" t="inlineStr">
        <is>
          <t>Operator's own weekly rent scrape</t>
        </is>
      </c>
      <c r="F191" s="26" t="inlineStr">
        <is>
          <t>Comp set</t>
        </is>
      </c>
      <c r="G191" s="26" t="inlineStr">
        <is>
          <t>yes</t>
        </is>
      </c>
      <c r="H191" s="26" t="inlineStr">
        <is>
          <t>1.0</t>
        </is>
      </c>
    </row>
    <row r="192">
      <c r="A192" s="5" t="inlineStr">
        <is>
          <t>Comps</t>
        </is>
      </c>
      <c r="B192" s="5" t="inlineStr">
        <is>
          <t>comp_baths</t>
        </is>
      </c>
      <c r="C192" s="5" t="inlineStr">
        <is>
          <t>number</t>
        </is>
      </c>
      <c r="D192" s="26" t="inlineStr">
        <is>
          <t>Bathrooms in the comp plan.</t>
        </is>
      </c>
      <c r="E192" s="5" t="inlineStr">
        <is>
          <t>Operator's own weekly rent scrape</t>
        </is>
      </c>
      <c r="F192" s="26" t="inlineStr">
        <is>
          <t>Comp set</t>
        </is>
      </c>
      <c r="G192" s="26" t="inlineStr">
        <is>
          <t>yes</t>
        </is>
      </c>
      <c r="H192" s="26" t="inlineStr">
        <is>
          <t>—</t>
        </is>
      </c>
    </row>
    <row r="193">
      <c r="A193" s="5" t="inlineStr">
        <is>
          <t>Comps</t>
        </is>
      </c>
      <c r="B193" s="5" t="inlineStr">
        <is>
          <t>comp_sqft</t>
        </is>
      </c>
      <c r="C193" s="5" t="inlineStr">
        <is>
          <t>number</t>
        </is>
      </c>
      <c r="D193" s="26" t="inlineStr">
        <is>
          <t>Square footage of the comp plan.</t>
        </is>
      </c>
      <c r="E193" s="5" t="inlineStr">
        <is>
          <t>Operator's own weekly rent scrape</t>
        </is>
      </c>
      <c r="F193" s="26" t="inlineStr">
        <is>
          <t>Comp set</t>
        </is>
      </c>
      <c r="G193" s="26" t="inlineStr">
        <is>
          <t>yes</t>
        </is>
      </c>
      <c r="H193" s="26" t="inlineStr">
        <is>
          <t>688.0</t>
        </is>
      </c>
    </row>
    <row r="194">
      <c r="A194" s="5" t="inlineStr">
        <is>
          <t>Comps</t>
        </is>
      </c>
      <c r="B194" s="5" t="inlineStr">
        <is>
          <t>comp_asking_rent</t>
        </is>
      </c>
      <c r="C194" s="5" t="inlineStr">
        <is>
          <t>currency</t>
        </is>
      </c>
      <c r="D194" s="26" t="inlineStr">
        <is>
          <t>Advertised asking rent.</t>
        </is>
      </c>
      <c r="E194" s="5" t="inlineStr">
        <is>
          <t>Operator's own weekly rent scrape</t>
        </is>
      </c>
      <c r="F194" s="26" t="inlineStr">
        <is>
          <t>Market rent evidence</t>
        </is>
      </c>
      <c r="G194" s="26" t="inlineStr">
        <is>
          <t>yes</t>
        </is>
      </c>
      <c r="H194" s="26" t="inlineStr">
        <is>
          <t>$1,047</t>
        </is>
      </c>
    </row>
    <row r="195">
      <c r="A195" s="5" t="inlineStr">
        <is>
          <t>Comps</t>
        </is>
      </c>
      <c r="B195" s="5" t="inlineStr">
        <is>
          <t>comp_concession</t>
        </is>
      </c>
      <c r="C195" s="5" t="inlineStr">
        <is>
          <t>currency</t>
        </is>
      </c>
      <c r="D195" s="26" t="inlineStr">
        <is>
          <t>Monthly value of the advertised concession.</t>
        </is>
      </c>
      <c r="E195" s="5" t="inlineStr">
        <is>
          <t>Operator's own weekly rent scrape</t>
        </is>
      </c>
      <c r="F195" s="26" t="inlineStr">
        <is>
          <t>Concession assumption</t>
        </is>
      </c>
      <c r="G195" s="26" t="inlineStr">
        <is>
          <t>yes</t>
        </is>
      </c>
      <c r="H195" s="26" t="inlineStr">
        <is>
          <t>$0</t>
        </is>
      </c>
    </row>
    <row r="196">
      <c r="A196" s="5" t="inlineStr">
        <is>
          <t>Comps</t>
        </is>
      </c>
      <c r="B196" s="5" t="inlineStr">
        <is>
          <t>comp_net_effective_rent</t>
        </is>
      </c>
      <c r="C196" s="5" t="inlineStr">
        <is>
          <t>currency</t>
        </is>
      </c>
      <c r="D196" s="26" t="inlineStr">
        <is>
          <t>Asking rent less the amortized concession. Stated on every row — a concession-blind comp set is the most common way a rent assumption goes wrong.</t>
        </is>
      </c>
      <c r="E196" s="5" t="inlineStr">
        <is>
          <t>Derived by the pipeline</t>
        </is>
      </c>
      <c r="F196" s="26" t="inlineStr">
        <is>
          <t>Market rent evidence</t>
        </is>
      </c>
      <c r="G196" s="26" t="inlineStr">
        <is>
          <t>yes</t>
        </is>
      </c>
      <c r="H196" s="26" t="inlineStr">
        <is>
          <t>$1,047</t>
        </is>
      </c>
    </row>
    <row r="197">
      <c r="A197" s="5" t="inlineStr">
        <is>
          <t>Comps</t>
        </is>
      </c>
      <c r="B197" s="5" t="inlineStr">
        <is>
          <t>comp_asking_psf</t>
        </is>
      </c>
      <c r="C197" s="5" t="inlineStr">
        <is>
          <t>currency</t>
        </is>
      </c>
      <c r="D197" s="26" t="inlineStr">
        <is>
          <t>Asking rent per square foot.</t>
        </is>
      </c>
      <c r="E197" s="5" t="inlineStr">
        <is>
          <t>Derived by the pipeline</t>
        </is>
      </c>
      <c r="F197" s="26" t="inlineStr">
        <is>
          <t>Comp set</t>
        </is>
      </c>
      <c r="G197" s="26" t="inlineStr">
        <is>
          <t>yes</t>
        </is>
      </c>
      <c r="H197" s="26" t="inlineStr">
        <is>
          <t>—</t>
        </is>
      </c>
    </row>
    <row r="198">
      <c r="A198" s="5" t="inlineStr">
        <is>
          <t>Comps</t>
        </is>
      </c>
      <c r="B198" s="5" t="inlineStr">
        <is>
          <t>comp_occupancy</t>
        </is>
      </c>
      <c r="C198" s="5" t="inlineStr">
        <is>
          <t>percent</t>
        </is>
      </c>
      <c r="D198" s="26" t="inlineStr">
        <is>
          <t>Occupancy where the source published it.</t>
        </is>
      </c>
      <c r="E198" s="5" t="inlineStr">
        <is>
          <t>Operator's own weekly rent scrape</t>
        </is>
      </c>
      <c r="F198" s="26" t="inlineStr">
        <is>
          <t>Market context</t>
        </is>
      </c>
      <c r="G198" s="26" t="inlineStr">
        <is>
          <t>yes</t>
        </is>
      </c>
      <c r="H198" s="26" t="inlineStr">
        <is>
          <t>—</t>
        </is>
      </c>
    </row>
    <row r="199">
      <c r="A199" s="5" t="inlineStr">
        <is>
          <t>Comps</t>
        </is>
      </c>
      <c r="B199" s="5" t="inlineStr">
        <is>
          <t>comp_as_of</t>
        </is>
      </c>
      <c r="C199" s="5" t="inlineStr">
        <is>
          <t>date</t>
        </is>
      </c>
      <c r="D199" s="26" t="inlineStr">
        <is>
          <t>When the row was scraped.</t>
        </is>
      </c>
      <c r="E199" s="5" t="inlineStr">
        <is>
          <t>Operator's own weekly rent scrape</t>
        </is>
      </c>
      <c r="F199" s="26" t="inlineStr">
        <is>
          <t>Reference only — not a model input</t>
        </is>
      </c>
      <c r="G199" s="26" t="inlineStr">
        <is>
          <t>yes</t>
        </is>
      </c>
      <c r="H199" s="26" t="inlineStr">
        <is>
          <t>2026-09-03</t>
        </is>
      </c>
    </row>
    <row r="200">
      <c r="A200" s="5" t="inlineStr">
        <is>
          <t>Comps</t>
        </is>
      </c>
      <c r="B200" s="5" t="inlineStr">
        <is>
          <t>comp_source</t>
        </is>
      </c>
      <c r="C200" s="5" t="inlineStr">
        <is>
          <t>text</t>
        </is>
      </c>
      <c r="D200" s="26" t="inlineStr">
        <is>
          <t>Always the operator's own weekly scrape. Licensed comp feeds are excluded by design and cannot be represented in this schema.</t>
        </is>
      </c>
      <c r="E200" s="5" t="inlineStr">
        <is>
          <t>Operator's own weekly rent scrape</t>
        </is>
      </c>
      <c r="F200" s="26" t="inlineStr">
        <is>
          <t>Reference only — not a model input</t>
        </is>
      </c>
      <c r="G200" s="26" t="inlineStr">
        <is>
          <t>yes</t>
        </is>
      </c>
      <c r="H200" s="26" t="inlineStr">
        <is>
          <t>own weekly scrape</t>
        </is>
      </c>
    </row>
    <row r="201">
      <c r="A201" s="5" t="inlineStr">
        <is>
          <t>Comps</t>
        </is>
      </c>
      <c r="B201" s="5" t="inlineStr">
        <is>
          <t>compset_avg_asking</t>
        </is>
      </c>
      <c r="C201" s="5" t="inlineStr">
        <is>
          <t>currency</t>
        </is>
      </c>
      <c r="D201" s="26" t="inlineStr">
        <is>
          <t>Average asking rent across the comp set.</t>
        </is>
      </c>
      <c r="E201" s="5" t="inlineStr">
        <is>
          <t>Derived by the pipeline</t>
        </is>
      </c>
      <c r="F201" s="26" t="inlineStr">
        <is>
          <t>Market rent benchmark</t>
        </is>
      </c>
      <c r="G201" s="26" t="inlineStr">
        <is>
          <t>yes</t>
        </is>
      </c>
      <c r="H201" s="26" t="inlineStr">
        <is>
          <t>—</t>
        </is>
      </c>
    </row>
    <row r="202">
      <c r="A202" s="5" t="inlineStr">
        <is>
          <t>Comps</t>
        </is>
      </c>
      <c r="B202" s="5" t="inlineStr">
        <is>
          <t>compset_avg_net_effective</t>
        </is>
      </c>
      <c r="C202" s="5" t="inlineStr">
        <is>
          <t>currency</t>
        </is>
      </c>
      <c r="D202" s="26" t="inlineStr">
        <is>
          <t>Average net effective rent across the comp set.</t>
        </is>
      </c>
      <c r="E202" s="5" t="inlineStr">
        <is>
          <t>Derived by the pipeline</t>
        </is>
      </c>
      <c r="F202" s="26" t="inlineStr">
        <is>
          <t>Market rent benchmark</t>
        </is>
      </c>
      <c r="G202" s="26" t="inlineStr">
        <is>
          <t>yes</t>
        </is>
      </c>
      <c r="H202" s="26" t="inlineStr">
        <is>
          <t>—</t>
        </is>
      </c>
    </row>
    <row r="203">
      <c r="A203" s="5" t="inlineStr">
        <is>
          <t>Comps</t>
        </is>
      </c>
      <c r="B203" s="5" t="inlineStr">
        <is>
          <t>subject_vs_compset_spread</t>
        </is>
      </c>
      <c r="C203" s="5" t="inlineStr">
        <is>
          <t>percent</t>
        </is>
      </c>
      <c r="D203" s="26" t="inlineStr">
        <is>
          <t>Subject market rent over comp-set net effective, less one.</t>
        </is>
      </c>
      <c r="E203" s="5" t="inlineStr">
        <is>
          <t>Derived by the pipeline</t>
        </is>
      </c>
      <c r="F203" s="26" t="inlineStr">
        <is>
          <t>Rent positioning</t>
        </is>
      </c>
      <c r="G203" s="26" t="inlineStr">
        <is>
          <t>yes</t>
        </is>
      </c>
      <c r="H203" s="26" t="inlineStr">
        <is>
          <t>—</t>
        </is>
      </c>
    </row>
    <row r="204">
      <c r="A204" s="4" t="inlineStr">
        <is>
          <t>Demand</t>
        </is>
      </c>
      <c r="B204" s="4" t="n"/>
      <c r="C204" s="4" t="n"/>
      <c r="D204" s="4" t="n"/>
      <c r="E204" s="4" t="n"/>
      <c r="F204" s="4" t="n"/>
      <c r="G204" s="4" t="n"/>
      <c r="H204" s="4" t="n"/>
    </row>
    <row r="205">
      <c r="A205" s="5" t="inlineStr">
        <is>
          <t>Demand</t>
        </is>
      </c>
      <c r="B205" s="5" t="inlineStr">
        <is>
          <t>demand_ring</t>
        </is>
      </c>
      <c r="C205" s="5" t="inlineStr">
        <is>
          <t>text</t>
        </is>
      </c>
      <c r="D205" s="26" t="inlineStr">
        <is>
          <t>Drive-ring the row describes: 1, 3, 5, or 10 miles, or the MSA.</t>
        </is>
      </c>
      <c r="E205" s="5" t="inlineStr">
        <is>
          <t>Derived by the pipeline</t>
        </is>
      </c>
      <c r="F205" s="26" t="inlineStr">
        <is>
          <t>Market summary</t>
        </is>
      </c>
      <c r="G205" s="26" t="inlineStr">
        <is>
          <t>yes</t>
        </is>
      </c>
      <c r="H205" s="26" t="inlineStr">
        <is>
          <t>1 mi</t>
        </is>
      </c>
    </row>
    <row r="206">
      <c r="A206" s="5" t="inlineStr">
        <is>
          <t>Demand</t>
        </is>
      </c>
      <c r="B206" s="5" t="inlineStr">
        <is>
          <t>demand_population</t>
        </is>
      </c>
      <c r="C206" s="5" t="inlineStr">
        <is>
          <t>integer</t>
        </is>
      </c>
      <c r="D206" s="26" t="inlineStr">
        <is>
          <t>Population in the ring.</t>
        </is>
      </c>
      <c r="E206" s="5" t="inlineStr">
        <is>
          <t>Public demographic data</t>
        </is>
      </c>
      <c r="F206" s="26" t="inlineStr">
        <is>
          <t>Market summary</t>
        </is>
      </c>
      <c r="G206" s="26" t="inlineStr">
        <is>
          <t>yes</t>
        </is>
      </c>
      <c r="H206" s="26" t="inlineStr">
        <is>
          <t>20,297</t>
        </is>
      </c>
    </row>
    <row r="207">
      <c r="A207" s="5" t="inlineStr">
        <is>
          <t>Demand</t>
        </is>
      </c>
      <c r="B207" s="5" t="inlineStr">
        <is>
          <t>demand_households</t>
        </is>
      </c>
      <c r="C207" s="5" t="inlineStr">
        <is>
          <t>integer</t>
        </is>
      </c>
      <c r="D207" s="26" t="inlineStr">
        <is>
          <t>Households in the ring.</t>
        </is>
      </c>
      <c r="E207" s="5" t="inlineStr">
        <is>
          <t>Public demographic data</t>
        </is>
      </c>
      <c r="F207" s="26" t="inlineStr">
        <is>
          <t>Market summary</t>
        </is>
      </c>
      <c r="G207" s="26" t="inlineStr">
        <is>
          <t>yes</t>
        </is>
      </c>
      <c r="H207" s="26" t="inlineStr">
        <is>
          <t>7,711</t>
        </is>
      </c>
    </row>
    <row r="208">
      <c r="A208" s="5" t="inlineStr">
        <is>
          <t>Demand</t>
        </is>
      </c>
      <c r="B208" s="5" t="inlineStr">
        <is>
          <t>demand_median_income</t>
        </is>
      </c>
      <c r="C208" s="5" t="inlineStr">
        <is>
          <t>currency</t>
        </is>
      </c>
      <c r="D208" s="26" t="inlineStr">
        <is>
          <t>Median household income in the ring.</t>
        </is>
      </c>
      <c r="E208" s="5" t="inlineStr">
        <is>
          <t>Public demographic data</t>
        </is>
      </c>
      <c r="F208" s="26" t="inlineStr">
        <is>
          <t>Affordability check</t>
        </is>
      </c>
      <c r="G208" s="26" t="inlineStr">
        <is>
          <t>yes</t>
        </is>
      </c>
      <c r="H208" s="26" t="inlineStr">
        <is>
          <t>$79,735</t>
        </is>
      </c>
    </row>
    <row r="209">
      <c r="A209" s="5" t="inlineStr">
        <is>
          <t>Demand</t>
        </is>
      </c>
      <c r="B209" s="5" t="inlineStr">
        <is>
          <t>demand_jobs</t>
        </is>
      </c>
      <c r="C209" s="5" t="inlineStr">
        <is>
          <t>integer</t>
        </is>
      </c>
      <c r="D209" s="26" t="inlineStr">
        <is>
          <t>Jobs located in the ring.</t>
        </is>
      </c>
      <c r="E209" s="5" t="inlineStr">
        <is>
          <t>Public demographic data</t>
        </is>
      </c>
      <c r="F209" s="26" t="inlineStr">
        <is>
          <t>Market summary</t>
        </is>
      </c>
      <c r="G209" s="26" t="inlineStr">
        <is>
          <t>yes</t>
        </is>
      </c>
      <c r="H209" s="26" t="inlineStr">
        <is>
          <t>5,239</t>
        </is>
      </c>
    </row>
    <row r="210">
      <c r="A210" s="5" t="inlineStr">
        <is>
          <t>Demand</t>
        </is>
      </c>
      <c r="B210" s="5" t="inlineStr">
        <is>
          <t>demand_pop_growth_5yr</t>
        </is>
      </c>
      <c r="C210" s="5" t="inlineStr">
        <is>
          <t>percent</t>
        </is>
      </c>
      <c r="D210" s="26" t="inlineStr">
        <is>
          <t>Five-year population growth in the ring.</t>
        </is>
      </c>
      <c r="E210" s="5" t="inlineStr">
        <is>
          <t>Public demographic data</t>
        </is>
      </c>
      <c r="F210" s="26" t="inlineStr">
        <is>
          <t>Growth assumption evidence</t>
        </is>
      </c>
      <c r="G210" s="26" t="inlineStr">
        <is>
          <t>yes</t>
        </is>
      </c>
      <c r="H210" s="26" t="inlineStr">
        <is>
          <t>-2.0%</t>
        </is>
      </c>
    </row>
    <row r="211">
      <c r="A211" s="5" t="inlineStr">
        <is>
          <t>Demand</t>
        </is>
      </c>
      <c r="B211" s="5" t="inlineStr">
        <is>
          <t>demand_renter_share</t>
        </is>
      </c>
      <c r="C211" s="5" t="inlineStr">
        <is>
          <t>percent</t>
        </is>
      </c>
      <c r="D211" s="26" t="inlineStr">
        <is>
          <t>Share of ring households that rent.</t>
        </is>
      </c>
      <c r="E211" s="5" t="inlineStr">
        <is>
          <t>Public demographic data</t>
        </is>
      </c>
      <c r="F211" s="26" t="inlineStr">
        <is>
          <t>Demand context</t>
        </is>
      </c>
      <c r="G211" s="26" t="inlineStr">
        <is>
          <t>yes</t>
        </is>
      </c>
      <c r="H211" s="26" t="inlineStr">
        <is>
          <t>43.4%</t>
        </is>
      </c>
    </row>
    <row r="212">
      <c r="A212" s="4" t="inlineStr">
        <is>
          <t>Supply</t>
        </is>
      </c>
      <c r="B212" s="4" t="n"/>
      <c r="C212" s="4" t="n"/>
      <c r="D212" s="4" t="n"/>
      <c r="E212" s="4" t="n"/>
      <c r="F212" s="4" t="n"/>
      <c r="G212" s="4" t="n"/>
      <c r="H212" s="4" t="n"/>
    </row>
    <row r="213">
      <c r="A213" s="5" t="inlineStr">
        <is>
          <t>Supply</t>
        </is>
      </c>
      <c r="B213" s="5" t="inlineStr">
        <is>
          <t>supply_ring</t>
        </is>
      </c>
      <c r="C213" s="5" t="inlineStr">
        <is>
          <t>text</t>
        </is>
      </c>
      <c r="D213" s="26" t="inlineStr">
        <is>
          <t>Ring the supply row describes.</t>
        </is>
      </c>
      <c r="E213" s="5" t="inlineStr">
        <is>
          <t>Derived by the pipeline</t>
        </is>
      </c>
      <c r="F213" s="26" t="inlineStr">
        <is>
          <t>Competing supply</t>
        </is>
      </c>
      <c r="G213" s="26" t="inlineStr">
        <is>
          <t>yes</t>
        </is>
      </c>
      <c r="H213" s="26" t="inlineStr">
        <is>
          <t>1 mi</t>
        </is>
      </c>
    </row>
    <row r="214">
      <c r="A214" s="5" t="inlineStr">
        <is>
          <t>Supply</t>
        </is>
      </c>
      <c r="B214" s="5" t="inlineStr">
        <is>
          <t>supply_stage</t>
        </is>
      </c>
      <c r="C214" s="5" t="inlineStr">
        <is>
          <t>text</t>
        </is>
      </c>
      <c r="D214" s="26" t="inlineStr">
        <is>
          <t>Entitlement, permitted, under construction, or delivered in the last 24 months. Stage is stated because entitled units and delivered units are not the same risk.</t>
        </is>
      </c>
      <c r="E214" s="5" t="inlineStr">
        <is>
          <t>Public permit / entitlement records</t>
        </is>
      </c>
      <c r="F214" s="26" t="inlineStr">
        <is>
          <t>Competing supply</t>
        </is>
      </c>
      <c r="G214" s="26" t="inlineStr">
        <is>
          <t>yes</t>
        </is>
      </c>
      <c r="H214" s="26" t="inlineStr">
        <is>
          <t>Entitlement</t>
        </is>
      </c>
    </row>
    <row r="215">
      <c r="A215" s="5" t="inlineStr">
        <is>
          <t>Supply</t>
        </is>
      </c>
      <c r="B215" s="5" t="inlineStr">
        <is>
          <t>supply_projects</t>
        </is>
      </c>
      <c r="C215" s="5" t="inlineStr">
        <is>
          <t>integer</t>
        </is>
      </c>
      <c r="D215" s="26" t="inlineStr">
        <is>
          <t>Projects at that ring and stage.</t>
        </is>
      </c>
      <c r="E215" s="5" t="inlineStr">
        <is>
          <t>Public permit / entitlement records</t>
        </is>
      </c>
      <c r="F215" s="26" t="inlineStr">
        <is>
          <t>Competing supply</t>
        </is>
      </c>
      <c r="G215" s="26" t="inlineStr">
        <is>
          <t>yes</t>
        </is>
      </c>
      <c r="H215" s="26" t="inlineStr">
        <is>
          <t>2</t>
        </is>
      </c>
    </row>
    <row r="216">
      <c r="A216" s="5" t="inlineStr">
        <is>
          <t>Supply</t>
        </is>
      </c>
      <c r="B216" s="5" t="inlineStr">
        <is>
          <t>supply_units</t>
        </is>
      </c>
      <c r="C216" s="5" t="inlineStr">
        <is>
          <t>integer</t>
        </is>
      </c>
      <c r="D216" s="26" t="inlineStr">
        <is>
          <t>Units at that ring and stage.</t>
        </is>
      </c>
      <c r="E216" s="5" t="inlineStr">
        <is>
          <t>Public permit / entitlement records</t>
        </is>
      </c>
      <c r="F216" s="26" t="inlineStr">
        <is>
          <t>Competing supply / absorption</t>
        </is>
      </c>
      <c r="G216" s="26" t="inlineStr">
        <is>
          <t>yes</t>
        </is>
      </c>
      <c r="H216" s="26" t="inlineStr">
        <is>
          <t>72</t>
        </is>
      </c>
    </row>
    <row r="217">
      <c r="A217" s="5" t="inlineStr">
        <is>
          <t>Supply</t>
        </is>
      </c>
      <c r="B217" s="5" t="inlineStr">
        <is>
          <t>supply_ring_total_units</t>
        </is>
      </c>
      <c r="C217" s="5" t="inlineStr">
        <is>
          <t>integer</t>
        </is>
      </c>
      <c r="D217" s="26" t="inlineStr">
        <is>
          <t>All pipeline units in the ring across stages.</t>
        </is>
      </c>
      <c r="E217" s="5" t="inlineStr">
        <is>
          <t>Derived by the pipeline</t>
        </is>
      </c>
      <c r="F217" s="26" t="inlineStr">
        <is>
          <t>Competing supply</t>
        </is>
      </c>
      <c r="G217" s="26" t="inlineStr">
        <is>
          <t>yes</t>
        </is>
      </c>
      <c r="H217" s="26" t="inlineStr">
        <is>
          <t>—</t>
        </is>
      </c>
    </row>
    <row r="218">
      <c r="A218" s="5" t="inlineStr">
        <is>
          <t>Supply</t>
        </is>
      </c>
      <c r="B218" s="5" t="inlineStr">
        <is>
          <t>supply_pct_of_ring_stock</t>
        </is>
      </c>
      <c r="C218" s="5" t="inlineStr">
        <is>
          <t>percent</t>
        </is>
      </c>
      <c r="D218" s="26" t="inlineStr">
        <is>
          <t>Pipeline units as a share of the ring's existing stock, where stock is known.</t>
        </is>
      </c>
      <c r="E218" s="5" t="inlineStr">
        <is>
          <t>Derived by the pipeline</t>
        </is>
      </c>
      <c r="F218" s="26" t="inlineStr">
        <is>
          <t>Supply pressure</t>
        </is>
      </c>
      <c r="G218" s="26" t="inlineStr">
        <is>
          <t>yes</t>
        </is>
      </c>
      <c r="H218" s="26" t="inlineStr">
        <is>
          <t>—</t>
        </is>
      </c>
    </row>
    <row r="219">
      <c r="A219" s="5" t="inlineStr">
        <is>
          <t>Supply</t>
        </is>
      </c>
      <c r="B219" s="5" t="inlineStr">
        <is>
          <t>supply_project_name</t>
        </is>
      </c>
      <c r="C219" s="5" t="inlineStr">
        <is>
          <t>text</t>
        </is>
      </c>
      <c r="D219" s="26" t="inlineStr">
        <is>
          <t>One development inside three miles, named. The ring rows say how many projects were counted; these say which ones.</t>
        </is>
      </c>
      <c r="E219" s="5" t="inlineStr">
        <is>
          <t>Public permit / entitlement records</t>
        </is>
      </c>
      <c r="F219" s="26" t="inlineStr">
        <is>
          <t>Competing supply</t>
        </is>
      </c>
      <c r="G219" s="26" t="inlineStr">
        <is>
          <t>yes</t>
        </is>
      </c>
      <c r="H219" s="26" t="inlineStr">
        <is>
          <t>Reed Park Residences</t>
        </is>
      </c>
    </row>
    <row r="220">
      <c r="A220" s="5" t="inlineStr">
        <is>
          <t>Supply</t>
        </is>
      </c>
      <c r="B220" s="5" t="inlineStr">
        <is>
          <t>supply_project_miles</t>
        </is>
      </c>
      <c r="C220" s="5" t="inlineStr">
        <is>
          <t>number</t>
        </is>
      </c>
      <c r="D220" s="26" t="inlineStr">
        <is>
          <t>Distance from the subject, at the nearest record any lifecycle layer carried.</t>
        </is>
      </c>
      <c r="E220" s="5" t="inlineStr">
        <is>
          <t>Derived by the pipeline</t>
        </is>
      </c>
      <c r="F220" s="26" t="inlineStr">
        <is>
          <t>Competing supply</t>
        </is>
      </c>
      <c r="G220" s="26" t="inlineStr">
        <is>
          <t>yes</t>
        </is>
      </c>
      <c r="H220" s="26" t="inlineStr">
        <is>
          <t>0.9</t>
        </is>
      </c>
    </row>
    <row r="221">
      <c r="A221" s="5" t="inlineStr">
        <is>
          <t>Supply</t>
        </is>
      </c>
      <c r="B221" s="5" t="inlineStr">
        <is>
          <t>supply_project_stage</t>
        </is>
      </c>
      <c r="C221" s="5" t="inlineStr">
        <is>
          <t>text</t>
        </is>
      </c>
      <c r="D221" s="26" t="inlineStr">
        <is>
          <t>The furthest tracked stage the pipeline shows for that development — the stage it was counted at.</t>
        </is>
      </c>
      <c r="E221" s="5" t="inlineStr">
        <is>
          <t>Public permit / entitlement records</t>
        </is>
      </c>
      <c r="F221" s="26" t="inlineStr">
        <is>
          <t>Competing supply</t>
        </is>
      </c>
      <c r="G221" s="26" t="inlineStr">
        <is>
          <t>yes</t>
        </is>
      </c>
      <c r="H221" s="26" t="inlineStr">
        <is>
          <t>Entitlement</t>
        </is>
      </c>
    </row>
    <row r="222">
      <c r="A222" s="5" t="inlineStr">
        <is>
          <t>Supply</t>
        </is>
      </c>
      <c r="B222" s="5" t="inlineStr">
        <is>
          <t>supply_project_units</t>
        </is>
      </c>
      <c r="C222" s="5" t="inlineStr">
        <is>
          <t>integer</t>
        </is>
      </c>
      <c r="D222" s="26" t="inlineStr">
        <is>
          <t>Units where a layer stated them. Blank means the source did not state a count, never zero.</t>
        </is>
      </c>
      <c r="E222" s="5" t="inlineStr">
        <is>
          <t>Public permit / entitlement records</t>
        </is>
      </c>
      <c r="F222" s="26" t="inlineStr">
        <is>
          <t>Competing supply / absorption</t>
        </is>
      </c>
      <c r="G222" s="26" t="inlineStr">
        <is>
          <t>yes</t>
        </is>
      </c>
      <c r="H222" s="26" t="inlineStr">
        <is>
          <t>72</t>
        </is>
      </c>
    </row>
    <row r="223">
      <c r="A223" s="5" t="inlineStr">
        <is>
          <t>Supply</t>
        </is>
      </c>
      <c r="B223" s="5" t="inlineStr">
        <is>
          <t>supply_project_product</t>
        </is>
      </c>
      <c r="C223" s="5" t="inlineStr">
        <is>
          <t>text</t>
        </is>
      </c>
      <c r="D223" s="26" t="inlineStr">
        <is>
          <t>Product the pipeline records for the development.</t>
        </is>
      </c>
      <c r="E223" s="5" t="inlineStr">
        <is>
          <t>Public permit / entitlement records</t>
        </is>
      </c>
      <c r="F223" s="26" t="inlineStr">
        <is>
          <t>Competing supply</t>
        </is>
      </c>
      <c r="G223" s="26" t="inlineStr">
        <is>
          <t>yes</t>
        </is>
      </c>
      <c r="H223" s="26" t="inlineStr">
        <is>
          <t>multifamily</t>
        </is>
      </c>
    </row>
    <row r="224">
      <c r="A224" s="5" t="inlineStr">
        <is>
          <t>Supply</t>
        </is>
      </c>
      <c r="B224" s="5" t="inlineStr">
        <is>
          <t>supply_project_address</t>
        </is>
      </c>
      <c r="C224" s="5" t="inlineStr">
        <is>
          <t>text</t>
        </is>
      </c>
      <c r="D224" s="26" t="inlineStr">
        <is>
          <t>Street address where a layer carried one.</t>
        </is>
      </c>
      <c r="E224" s="5" t="inlineStr">
        <is>
          <t>Public permit / entitlement records</t>
        </is>
      </c>
      <c r="F224" s="26" t="inlineStr">
        <is>
          <t>Competing supply</t>
        </is>
      </c>
      <c r="G224" s="26" t="inlineStr">
        <is>
          <t>yes</t>
        </is>
      </c>
      <c r="H224" s="26" t="inlineStr">
        <is>
          <t>—</t>
        </is>
      </c>
    </row>
    <row r="225">
      <c r="A225" s="5" t="inlineStr">
        <is>
          <t>Supply</t>
        </is>
      </c>
      <c r="B225" s="5" t="inlineStr">
        <is>
          <t>supply_project_city</t>
        </is>
      </c>
      <c r="C225" s="5" t="inlineStr">
        <is>
          <t>text</t>
        </is>
      </c>
      <c r="D225" s="26" t="inlineStr">
        <is>
          <t>City where a layer carried one.</t>
        </is>
      </c>
      <c r="E225" s="5" t="inlineStr">
        <is>
          <t>Public permit / entitlement records</t>
        </is>
      </c>
      <c r="F225" s="26" t="inlineStr">
        <is>
          <t>Competing supply</t>
        </is>
      </c>
      <c r="G225" s="26" t="inlineStr">
        <is>
          <t>yes</t>
        </is>
      </c>
      <c r="H225" s="26" t="inlineStr">
        <is>
          <t>—</t>
        </is>
      </c>
    </row>
    <row r="226">
      <c r="A226" s="5" t="inlineStr">
        <is>
          <t>Supply</t>
        </is>
      </c>
      <c r="B226" s="5" t="inlineStr">
        <is>
          <t>supply_project_acres</t>
        </is>
      </c>
      <c r="C226" s="5" t="inlineStr">
        <is>
          <t>number</t>
        </is>
      </c>
      <c r="D226" s="26" t="inlineStr">
        <is>
          <t>Site acreage where a layer carried one.</t>
        </is>
      </c>
      <c r="E226" s="5" t="inlineStr">
        <is>
          <t>Public permit / entitlement records</t>
        </is>
      </c>
      <c r="F226" s="26" t="inlineStr">
        <is>
          <t>Competing supply</t>
        </is>
      </c>
      <c r="G226" s="26" t="inlineStr">
        <is>
          <t>yes</t>
        </is>
      </c>
      <c r="H226" s="26" t="inlineStr">
        <is>
          <t>3.2</t>
        </is>
      </c>
    </row>
    <row r="227">
      <c r="A227" s="5" t="inlineStr">
        <is>
          <t>Supply</t>
        </is>
      </c>
      <c r="B227" s="5" t="inlineStr">
        <is>
          <t>supply_project_developer</t>
        </is>
      </c>
      <c r="C227" s="5" t="inlineStr">
        <is>
          <t>text</t>
        </is>
      </c>
      <c r="D227" s="26" t="inlineStr">
        <is>
          <t>Developer where a layer named one.</t>
        </is>
      </c>
      <c r="E227" s="5" t="inlineStr">
        <is>
          <t>Public permit / entitlement records</t>
        </is>
      </c>
      <c r="F227" s="26" t="inlineStr">
        <is>
          <t>Competing supply</t>
        </is>
      </c>
      <c r="G227" s="26" t="inlineStr">
        <is>
          <t>yes</t>
        </is>
      </c>
      <c r="H227" s="26" t="inlineStr">
        <is>
          <t>—</t>
        </is>
      </c>
    </row>
    <row r="228">
      <c r="A228" s="5" t="inlineStr">
        <is>
          <t>Supply</t>
        </is>
      </c>
      <c r="B228" s="5" t="inlineStr">
        <is>
          <t>supply_project_filed</t>
        </is>
      </c>
      <c r="C228" s="5" t="inlineStr">
        <is>
          <t>date</t>
        </is>
      </c>
      <c r="D228" s="26" t="inlineStr">
        <is>
          <t>Earliest filing date across the layers the development appears on.</t>
        </is>
      </c>
      <c r="E228" s="5" t="inlineStr">
        <is>
          <t>Public permit / entitlement records</t>
        </is>
      </c>
      <c r="F228" s="26" t="inlineStr">
        <is>
          <t>Competing supply</t>
        </is>
      </c>
      <c r="G228" s="26" t="inlineStr">
        <is>
          <t>yes</t>
        </is>
      </c>
      <c r="H228" s="26" t="inlineStr">
        <is>
          <t>2026-07-03</t>
        </is>
      </c>
    </row>
    <row r="229">
      <c r="A229" s="5" t="inlineStr">
        <is>
          <t>Supply</t>
        </is>
      </c>
      <c r="B229" s="5" t="inlineStr">
        <is>
          <t>supply_project_latest</t>
        </is>
      </c>
      <c r="C229" s="5" t="inlineStr">
        <is>
          <t>date</t>
        </is>
      </c>
      <c r="D229" s="26" t="inlineStr">
        <is>
          <t>Latest activity date across those layers.</t>
        </is>
      </c>
      <c r="E229" s="5" t="inlineStr">
        <is>
          <t>Public permit / entitlement records</t>
        </is>
      </c>
      <c r="F229" s="26" t="inlineStr">
        <is>
          <t>Competing supply</t>
        </is>
      </c>
      <c r="G229" s="26" t="inlineStr">
        <is>
          <t>yes</t>
        </is>
      </c>
      <c r="H229" s="26" t="inlineStr">
        <is>
          <t>2026-07-03</t>
        </is>
      </c>
    </row>
    <row r="230">
      <c r="A230" s="5" t="inlineStr">
        <is>
          <t>Supply</t>
        </is>
      </c>
      <c r="B230" s="5" t="inlineStr">
        <is>
          <t>supply_project_layers</t>
        </is>
      </c>
      <c r="C230" s="5" t="inlineStr">
        <is>
          <t>text</t>
        </is>
      </c>
      <c r="D230" s="26" t="inlineStr">
        <is>
          <t>The pipeline layers the development appeared on. Layers are lifecycle views of the same market, so one development can appear on several and is counted once.</t>
        </is>
      </c>
      <c r="E230" s="5" t="inlineStr">
        <is>
          <t>Public permit / entitlement records</t>
        </is>
      </c>
      <c r="F230" s="26" t="inlineStr">
        <is>
          <t>Reference only — not a model input</t>
        </is>
      </c>
      <c r="G230" s="26" t="inlineStr">
        <is>
          <t>yes</t>
        </is>
      </c>
      <c r="H230" s="26" t="inlineStr">
        <is>
          <t>1 entries</t>
        </is>
      </c>
    </row>
    <row r="231">
      <c r="A231" s="4" t="inlineStr">
        <is>
          <t>OM comparables</t>
        </is>
      </c>
      <c r="B231" s="4" t="n"/>
      <c r="C231" s="4" t="n"/>
      <c r="D231" s="4" t="n"/>
      <c r="E231" s="4" t="n"/>
      <c r="F231" s="4" t="n"/>
      <c r="G231" s="4" t="n"/>
      <c r="H231" s="4" t="n"/>
    </row>
    <row r="232">
      <c r="A232" s="5" t="inlineStr">
        <is>
          <t>OM comparables</t>
        </is>
      </c>
      <c r="B232" s="5" t="inlineStr">
        <is>
          <t>om_rent_comp_community</t>
        </is>
      </c>
      <c r="C232" s="5" t="inlineStr">
        <is>
          <t>text</t>
        </is>
      </c>
      <c r="D232" s="26" t="inlineStr">
        <is>
          <t>A rent comparable the memorandum states, by name; one row per comparable in the interchange.</t>
        </is>
      </c>
      <c r="E232" s="5" t="inlineStr">
        <is>
          <t>Offering memorandum / marketing package</t>
        </is>
      </c>
      <c r="F232" s="26" t="inlineStr">
        <is>
          <t>Rent comps (broker-stated)</t>
        </is>
      </c>
      <c r="G232" s="26" t="inlineStr">
        <is>
          <t>yes</t>
        </is>
      </c>
      <c r="H232" s="26" t="inlineStr">
        <is>
          <t>—</t>
        </is>
      </c>
    </row>
    <row r="233">
      <c r="A233" s="5" t="inlineStr">
        <is>
          <t>OM comparables</t>
        </is>
      </c>
      <c r="B233" s="5" t="inlineStr">
        <is>
          <t>om_rent_comp_distance_mi</t>
        </is>
      </c>
      <c r="C233" s="5" t="inlineStr">
        <is>
          <t>number</t>
        </is>
      </c>
      <c r="D233" s="26" t="inlineStr">
        <is>
          <t>Distance from the subject as the memorandum states it.</t>
        </is>
      </c>
      <c r="E233" s="5" t="inlineStr">
        <is>
          <t>Offering memorandum / marketing package</t>
        </is>
      </c>
      <c r="F233" s="26" t="inlineStr">
        <is>
          <t>Rent comps (broker-stated)</t>
        </is>
      </c>
      <c r="G233" s="26" t="inlineStr">
        <is>
          <t>yes</t>
        </is>
      </c>
      <c r="H233" s="26" t="inlineStr">
        <is>
          <t>—</t>
        </is>
      </c>
    </row>
    <row r="234">
      <c r="A234" s="5" t="inlineStr">
        <is>
          <t>OM comparables</t>
        </is>
      </c>
      <c r="B234" s="5" t="inlineStr">
        <is>
          <t>om_rent_comp_rent</t>
        </is>
      </c>
      <c r="C234" s="5" t="inlineStr">
        <is>
          <t>currency</t>
        </is>
      </c>
      <c r="D234" s="26" t="inlineStr">
        <is>
          <t>The monthly rent figure the memorandum states for that comparable; its basis is on the row.</t>
        </is>
      </c>
      <c r="E234" s="5" t="inlineStr">
        <is>
          <t>Offering memorandum / marketing package</t>
        </is>
      </c>
      <c r="F234" s="26" t="inlineStr">
        <is>
          <t>Rent comps (broker-stated)</t>
        </is>
      </c>
      <c r="G234" s="26" t="inlineStr">
        <is>
          <t>yes</t>
        </is>
      </c>
      <c r="H234" s="26" t="inlineStr">
        <is>
          <t>—</t>
        </is>
      </c>
    </row>
    <row r="235">
      <c r="A235" s="5" t="inlineStr">
        <is>
          <t>OM comparables</t>
        </is>
      </c>
      <c r="B235" s="5" t="inlineStr">
        <is>
          <t>om_sale_comp_property</t>
        </is>
      </c>
      <c r="C235" s="5" t="inlineStr">
        <is>
          <t>text</t>
        </is>
      </c>
      <c r="D235" s="26" t="inlineStr">
        <is>
          <t>A whole-community sale comparable the memorandum cites, by name.</t>
        </is>
      </c>
      <c r="E235" s="5" t="inlineStr">
        <is>
          <t>Offering memorandum / marketing package</t>
        </is>
      </c>
      <c r="F235" s="26" t="inlineStr">
        <is>
          <t>Sale comps (institutional)</t>
        </is>
      </c>
      <c r="G235" s="26" t="inlineStr">
        <is>
          <t>yes</t>
        </is>
      </c>
      <c r="H235" s="26" t="inlineStr">
        <is>
          <t>—</t>
        </is>
      </c>
    </row>
    <row r="236">
      <c r="A236" s="5" t="inlineStr">
        <is>
          <t>OM comparables</t>
        </is>
      </c>
      <c r="B236" s="5" t="inlineStr">
        <is>
          <t>om_sale_comp_price</t>
        </is>
      </c>
      <c r="C236" s="5" t="inlineStr">
        <is>
          <t>currency</t>
        </is>
      </c>
      <c r="D236" s="26" t="inlineStr">
        <is>
          <t>The stated sale price.</t>
        </is>
      </c>
      <c r="E236" s="5" t="inlineStr">
        <is>
          <t>Offering memorandum / marketing package</t>
        </is>
      </c>
      <c r="F236" s="26" t="inlineStr">
        <is>
          <t>Sale comps (institutional)</t>
        </is>
      </c>
      <c r="G236" s="26" t="inlineStr">
        <is>
          <t>yes</t>
        </is>
      </c>
      <c r="H236" s="26" t="inlineStr">
        <is>
          <t>—</t>
        </is>
      </c>
    </row>
    <row r="237">
      <c r="A237" s="5" t="inlineStr">
        <is>
          <t>OM comparables</t>
        </is>
      </c>
      <c r="B237" s="5" t="inlineStr">
        <is>
          <t>om_sale_comp_price_per_unit</t>
        </is>
      </c>
      <c r="C237" s="5" t="inlineStr">
        <is>
          <t>currency</t>
        </is>
      </c>
      <c r="D237" s="26" t="inlineStr">
        <is>
          <t>The stated price per unit.</t>
        </is>
      </c>
      <c r="E237" s="5" t="inlineStr">
        <is>
          <t>Offering memorandum / marketing package</t>
        </is>
      </c>
      <c r="F237" s="26" t="inlineStr">
        <is>
          <t>Sale comps (institutional)</t>
        </is>
      </c>
      <c r="G237" s="26" t="inlineStr">
        <is>
          <t>yes</t>
        </is>
      </c>
      <c r="H237" s="26" t="inlineStr">
        <is>
          <t>—</t>
        </is>
      </c>
    </row>
    <row r="238">
      <c r="A238" s="5" t="inlineStr">
        <is>
          <t>OM comparables</t>
        </is>
      </c>
      <c r="B238" s="5" t="inlineStr">
        <is>
          <t>om_sale_comp_cap_rate</t>
        </is>
      </c>
      <c r="C238" s="5" t="inlineStr">
        <is>
          <t>percent</t>
        </is>
      </c>
      <c r="D238" s="26" t="inlineStr">
        <is>
          <t>The stated cap rate, as a fraction.</t>
        </is>
      </c>
      <c r="E238" s="5" t="inlineStr">
        <is>
          <t>Offering memorandum / marketing package</t>
        </is>
      </c>
      <c r="F238" s="26" t="inlineStr">
        <is>
          <t>Sale comps (institutional)</t>
        </is>
      </c>
      <c r="G238" s="26" t="inlineStr">
        <is>
          <t>yes</t>
        </is>
      </c>
      <c r="H238" s="26" t="inlineStr">
        <is>
          <t>—</t>
        </is>
      </c>
    </row>
    <row r="239">
      <c r="A239" s="5" t="inlineStr">
        <is>
          <t>OM comparables</t>
        </is>
      </c>
      <c r="B239" s="5" t="inlineStr">
        <is>
          <t>om_sale_comp_date</t>
        </is>
      </c>
      <c r="C239" s="5" t="inlineStr">
        <is>
          <t>text</t>
        </is>
      </c>
      <c r="D239" s="26" t="inlineStr">
        <is>
          <t>The sale date as written.</t>
        </is>
      </c>
      <c r="E239" s="5" t="inlineStr">
        <is>
          <t>Offering memorandum / marketing package</t>
        </is>
      </c>
      <c r="F239" s="26" t="inlineStr">
        <is>
          <t>Sale comps (institutional)</t>
        </is>
      </c>
      <c r="G239" s="26" t="inlineStr">
        <is>
          <t>yes</t>
        </is>
      </c>
      <c r="H239" s="26"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Sample Mesa Apt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61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30" t="inlineStr">
        <is>
          <t>closing_costs.mortgage_tax.amount</t>
        </is>
      </c>
      <c r="B9" s="5" t="inlineStr">
        <is>
          <t>0</t>
        </is>
      </c>
      <c r="C9" s="5" t="inlineStr">
        <is>
          <t>Not run in the upload demo</t>
        </is>
      </c>
      <c r="D9" s="5" t="inlineStr">
        <is>
          <t>—</t>
        </is>
      </c>
      <c r="E9" s="5" t="inlineStr">
        <is>
          <t>read</t>
        </is>
      </c>
      <c r="F9" s="12" t="n"/>
      <c r="G9" s="26" t="inlineStr">
        <is>
          <t>Not run in the upload demo. This section needs data sources the demo does not reach, so it is left empty rather than filled with placeholders.</t>
        </is>
      </c>
    </row>
    <row r="10">
      <c r="A10" s="30" t="inlineStr">
        <is>
          <t>closing_costs.transfer_tax.amount</t>
        </is>
      </c>
      <c r="B10" s="5" t="inlineStr">
        <is>
          <t>0</t>
        </is>
      </c>
      <c r="C10" s="5" t="inlineStr">
        <is>
          <t>Not run in the upload demo</t>
        </is>
      </c>
      <c r="D10" s="5" t="inlineStr">
        <is>
          <t>—</t>
        </is>
      </c>
      <c r="E10" s="5" t="inlineStr">
        <is>
          <t>read</t>
        </is>
      </c>
      <c r="F10" s="12" t="n"/>
      <c r="G10" s="26" t="inlineStr">
        <is>
          <t>Not run in the upload demo. This section needs data sources the demo does not reach, so it is left empty rather than filled with placeholders.</t>
        </is>
      </c>
    </row>
    <row r="11">
      <c r="A11" s="30"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6" t="inlineStr">
        <is>
          <t>Every community the service returned that is not a detail row, with the reason. Carried in the interchange file; not shown as a table.</t>
        </is>
      </c>
    </row>
    <row r="12">
      <c r="A12" s="30" t="inlineStr">
        <is>
          <t>comps.nearby[].units</t>
        </is>
      </c>
      <c r="B12" s="5" t="inlineStr">
        <is>
          <t>—</t>
        </is>
      </c>
      <c r="C12" s="5" t="inlineStr">
        <is>
          <t>Internal pipeline only</t>
        </is>
      </c>
      <c r="D12" s="5" t="inlineStr">
        <is>
          <t>—</t>
        </is>
      </c>
      <c r="E12" s="5" t="inlineStr">
        <is>
          <t>read</t>
        </is>
      </c>
      <c r="F12" s="12" t="n"/>
      <c r="G12" s="26" t="inlineStr">
        <is>
          <t>Unit counts come from a licensed data export; the internal pipeline carries them.</t>
        </is>
      </c>
    </row>
    <row r="13">
      <c r="A13" s="30" t="inlineStr">
        <is>
          <t>comps.rows</t>
        </is>
      </c>
      <c r="B13" s="5" t="inlineStr">
        <is>
          <t>19 entries</t>
        </is>
      </c>
      <c r="C13" s="5" t="inlineStr">
        <is>
          <t>Operator's own weekly rent scrape, via the market-report service</t>
        </is>
      </c>
      <c r="D13" s="5" t="inlineStr">
        <is>
          <t>POST /report (format json)</t>
        </is>
      </c>
      <c r="E13" s="5" t="inlineStr">
        <is>
          <t>read</t>
        </is>
      </c>
      <c r="F13" s="12" t="n"/>
      <c r="G13" s="26" t="inlineStr">
        <is>
          <t>Own weekly scrape; asking and net effective stated separately.</t>
        </is>
      </c>
    </row>
    <row r="14">
      <c r="A14" s="30" t="inlineStr">
        <is>
          <t>comps.rows.tier</t>
        </is>
      </c>
      <c r="B14" s="5" t="inlineStr">
        <is>
          <t>—</t>
        </is>
      </c>
      <c r="C14" s="5" t="inlineStr">
        <is>
          <t>Tracked-community registry, via the market-report service</t>
        </is>
      </c>
      <c r="D14" s="5" t="inlineStr">
        <is>
          <t>comp_tiers.assign</t>
        </is>
      </c>
      <c r="E14" s="5" t="inlineStr">
        <is>
          <t>derived</t>
        </is>
      </c>
      <c r="F14" s="5" t="inlineStr">
        <is>
          <t>comps.rows.distance_mi, comps.tiering.subject_product, comps.tiering.subject_year_built, comps.tiering.year_band, comps.tiering.top_n, comps.tiering.additional_n</t>
        </is>
      </c>
      <c r="G14" s="26" t="inlineStr">
        <is>
          <t>Closest same-product communities first, within the vintage band where the registry carries a year built; an unknown year keeps the community and says so.</t>
        </is>
      </c>
    </row>
    <row r="15">
      <c r="A15" s="30" t="inlineStr">
        <is>
          <t>demand.rings</t>
        </is>
      </c>
      <c r="B15" s="5" t="inlineStr">
        <is>
          <t>5 entries</t>
        </is>
      </c>
      <c r="C15" s="5" t="inlineStr">
        <is>
          <t>Public demographic data (the operator's ring engine), via the market-report service</t>
        </is>
      </c>
      <c r="D15" s="5" t="inlineStr">
        <is>
          <t>POST /report (format json)</t>
        </is>
      </c>
      <c r="E15" s="5" t="inlineStr">
        <is>
          <t>read</t>
        </is>
      </c>
      <c r="F15" s="12" t="n"/>
      <c r="G15" s="26" t="inlineStr">
        <is>
          <t>Ring demographics.</t>
        </is>
      </c>
    </row>
    <row r="16">
      <c r="A16" s="30" t="inlineStr">
        <is>
          <t>demand.zip_home</t>
        </is>
      </c>
      <c r="B16" s="5" t="inlineStr">
        <is>
          <t>—</t>
        </is>
      </c>
      <c r="C16" s="5" t="inlineStr">
        <is>
          <t>Zillow ZHVI home values (vendored static table, undated), via the market-report service</t>
        </is>
      </c>
      <c r="D16" s="5" t="inlineStr">
        <is>
          <t>POST /report (format json)</t>
        </is>
      </c>
      <c r="E16" s="5" t="inlineStr">
        <is>
          <t>read</t>
        </is>
      </c>
      <c r="F16" s="12" t="n"/>
      <c r="G16" s="26" t="inlineStr">
        <is>
          <t>ZIP and metro home values from the vendored Zillow ZHVI table; static, undated.</t>
        </is>
      </c>
    </row>
    <row r="17">
      <c r="A17" s="30" t="inlineStr">
        <is>
          <t>om_comps.rent</t>
        </is>
      </c>
      <c r="B17" s="5" t="inlineStr">
        <is>
          <t>0 entries</t>
        </is>
      </c>
      <c r="C17" s="5" t="inlineStr">
        <is>
          <t>Sample Property Offering Memorandum.pdf</t>
        </is>
      </c>
      <c r="D17" s="5" t="inlineStr">
        <is>
          <t>p.20</t>
        </is>
      </c>
      <c r="E17" s="5" t="inlineStr">
        <is>
          <t>read</t>
        </is>
      </c>
      <c r="F17" s="12" t="n"/>
      <c r="G17" s="26" t="inlineStr">
        <is>
          <t>4 rent comparable(s) the memorandum states; every figure verified inside its own quote.</t>
        </is>
      </c>
    </row>
    <row r="18">
      <c r="A18" s="30" t="inlineStr">
        <is>
          <t>pricing.price_per_unit</t>
        </is>
      </c>
      <c r="B18" s="5" t="inlineStr">
        <is>
          <t>215,000</t>
        </is>
      </c>
      <c r="C18" s="5" t="inlineStr">
        <is>
          <t>Illustrative price</t>
        </is>
      </c>
      <c r="D18" s="5" t="inlineStr">
        <is>
          <t>—</t>
        </is>
      </c>
      <c r="E18" s="5" t="inlineStr">
        <is>
          <t>read</t>
        </is>
      </c>
      <c r="F18" s="12" t="n"/>
      <c r="G18" s="26" t="inlineStr">
        <is>
          <t>Per-unit price chosen for the sample, inside the sale-price band; every cap rate and pricing ladder is computed from it.</t>
        </is>
      </c>
    </row>
    <row r="19">
      <c r="A19" s="30" t="inlineStr">
        <is>
          <t>pricing.unit_count</t>
        </is>
      </c>
      <c r="B19" s="5" t="inlineStr">
        <is>
          <t>334</t>
        </is>
      </c>
      <c r="C19" s="5" t="inlineStr">
        <is>
          <t>Sample Property RR 8.4.26.xlsx</t>
        </is>
      </c>
      <c r="D19" s="5" t="inlineStr">
        <is>
          <t>—</t>
        </is>
      </c>
      <c r="E19" s="5" t="inlineStr">
        <is>
          <t>derived</t>
        </is>
      </c>
      <c r="F19" s="5" t="inlineStr">
        <is>
          <t>summary.unit_count</t>
        </is>
      </c>
      <c r="G19" s="26" t="inlineStr">
        <is>
          <t>The same count the summary carries, counted from the rows of the uploaded rent roll.</t>
        </is>
      </c>
    </row>
    <row r="20">
      <c r="A20" s="30" t="inlineStr">
        <is>
          <t>rent_roll.as_of</t>
        </is>
      </c>
      <c r="B20" s="5" t="inlineStr">
        <is>
          <t>2026-08-31</t>
        </is>
      </c>
      <c r="C20" s="5" t="inlineStr">
        <is>
          <t>Sample Property RR 8.4.26.xlsx</t>
        </is>
      </c>
      <c r="D20" s="5" t="inlineStr">
        <is>
          <t>as-of line</t>
        </is>
      </c>
      <c r="E20" s="5" t="inlineStr">
        <is>
          <t>read</t>
        </is>
      </c>
      <c r="F20" s="12" t="n"/>
      <c r="G20" s="26" t="inlineStr">
        <is>
          <t>Read as the end of the period the roll's own header states.</t>
        </is>
      </c>
    </row>
    <row r="21">
      <c r="A21" s="30" t="inlineStr">
        <is>
          <t>rent_roll.lookback_months</t>
        </is>
      </c>
      <c r="B21" s="5" t="inlineStr">
        <is>
          <t>12</t>
        </is>
      </c>
      <c r="C21" s="5" t="inlineStr">
        <is>
          <t>Not stated in the uploaded documents</t>
        </is>
      </c>
      <c r="D21" s="5" t="inlineStr">
        <is>
          <t>—</t>
        </is>
      </c>
      <c r="E21" s="5" t="inlineStr">
        <is>
          <t>read</t>
        </is>
      </c>
      <c r="F21" s="12" t="n"/>
      <c r="G21" s="26" t="inlineStr">
        <is>
          <t>This demo's default of 12 — the months of lease history the turnover figures look back over. No uploaded document or note set it.</t>
        </is>
      </c>
    </row>
    <row r="22">
      <c r="A22" s="30" t="inlineStr">
        <is>
          <t>rent_roll.new_tenant_tolerance_days</t>
        </is>
      </c>
      <c r="B22" s="5" t="inlineStr">
        <is>
          <t>31</t>
        </is>
      </c>
      <c r="C22" s="5" t="inlineStr">
        <is>
          <t>Not stated in the uploaded documents</t>
        </is>
      </c>
      <c r="D22" s="5" t="inlineStr">
        <is>
          <t>—</t>
        </is>
      </c>
      <c r="E22" s="5" t="inlineStr">
        <is>
          <t>read</t>
        </is>
      </c>
      <c r="F22" s="12" t="n"/>
      <c r="G22" s="26" t="inlineStr">
        <is>
          <t>This demo's default of 31 — the days a lease start may sit from a move-in and still count as the same event. No uploaded document or note set it.</t>
        </is>
      </c>
    </row>
    <row r="23">
      <c r="A23" s="30" t="inlineStr">
        <is>
          <t>rent_roll.units</t>
        </is>
      </c>
      <c r="B23" s="5" t="inlineStr">
        <is>
          <t>334 entries</t>
        </is>
      </c>
      <c r="C23" s="5" t="inlineStr">
        <is>
          <t>Sample Property RR 8.4.26.xlsx</t>
        </is>
      </c>
      <c r="D23" s="5" t="inlineStr">
        <is>
          <t>roll</t>
        </is>
      </c>
      <c r="E23" s="5" t="inlineStr">
        <is>
          <t>read</t>
        </is>
      </c>
      <c r="F23" s="12" t="n"/>
      <c r="G23" s="26" t="inlineStr">
        <is>
          <t>Read from the uploaded rent roll.</t>
        </is>
      </c>
    </row>
    <row r="24">
      <c r="A24" s="30" t="inlineStr">
        <is>
          <t>summary.address_provenance</t>
        </is>
      </c>
      <c r="B24" s="5" t="inlineStr">
        <is>
          <t>Illustrative address — not the asset's real location. The market tabs were pulled for t…</t>
        </is>
      </c>
      <c r="C24" s="5" t="inlineStr">
        <is>
          <t>Illustrative address</t>
        </is>
      </c>
      <c r="D24" s="5" t="inlineStr">
        <is>
          <t>—</t>
        </is>
      </c>
      <c r="E24" s="5" t="inlineStr">
        <is>
          <t>read</t>
        </is>
      </c>
      <c r="F24" s="12" t="n"/>
      <c r="G24" s="26" t="inlineStr">
        <is>
          <t>Illustrative address — not the asset's real location. The market tabs were pulled for this address on 2026-09-14.</t>
        </is>
      </c>
    </row>
    <row r="25">
      <c r="A25" s="30" t="inlineStr">
        <is>
          <t>summary.assessed_value_basis</t>
        </is>
      </c>
      <c r="B25" s="5" t="inlineStr">
        <is>
          <t>MISSING</t>
        </is>
      </c>
      <c r="C25" s="5" t="inlineStr">
        <is>
          <t>Internal pipeline only</t>
        </is>
      </c>
      <c r="D25" s="5" t="inlineStr">
        <is>
          <t>—</t>
        </is>
      </c>
      <c r="E25" s="5" t="inlineStr">
        <is>
          <t>read</t>
        </is>
      </c>
      <c r="F25" s="12" t="n"/>
      <c r="G25" s="26" t="inlineStr">
        <is>
          <t>See parcel: read off the county assessor's portal by the internal pipeline only.</t>
        </is>
      </c>
    </row>
    <row r="26">
      <c r="A26" s="30" t="inlineStr">
        <is>
          <t>summary.assessment_ratio</t>
        </is>
      </c>
      <c r="B26" s="5" t="inlineStr">
        <is>
          <t>0.1</t>
        </is>
      </c>
      <c r="C26" s="5" t="inlineStr">
        <is>
          <t>Vendored county rate table</t>
        </is>
      </c>
      <c r="D26" s="5" t="inlineStr">
        <is>
          <t>property_tax_table.STATE_RULES['AZ']</t>
        </is>
      </c>
      <c r="E26" s="5" t="inlineStr">
        <is>
          <t>read</t>
        </is>
      </c>
      <c r="F26" s="12" t="n"/>
      <c r="G26" s="26" t="inlineStr">
        <is>
          <t>10% — legal class 4.2, residential rental. A.R.S. sec. 42-15003 (class four assessed at 10%); A.R.S. sec. 42-12004 (class four includes residential rental property).</t>
        </is>
      </c>
    </row>
    <row r="27">
      <c r="A27" s="30" t="inlineStr">
        <is>
          <t>summary.city</t>
        </is>
      </c>
      <c r="B27" s="5" t="inlineStr">
        <is>
          <t>Mesa</t>
        </is>
      </c>
      <c r="C27" s="5" t="inlineStr">
        <is>
          <t>Illustrative address</t>
        </is>
      </c>
      <c r="D27" s="5" t="inlineStr">
        <is>
          <t>—</t>
        </is>
      </c>
      <c r="E27" s="5" t="inlineStr">
        <is>
          <t>read</t>
        </is>
      </c>
      <c r="F27" s="12" t="n"/>
      <c r="G27" s="26" t="inlineStr">
        <is>
          <t>Illustrative address — not the asset's real location. The market tabs were pulled for this address on 2026-09-14.</t>
        </is>
      </c>
    </row>
    <row r="28">
      <c r="A28" s="30" t="inlineStr">
        <is>
          <t>summary.construction_status</t>
        </is>
      </c>
      <c r="B28" s="5" t="inlineStr">
        <is>
          <t>MISSING</t>
        </is>
      </c>
      <c r="C28" s="5" t="inlineStr">
        <is>
          <t>Not stated in the uploaded documents</t>
        </is>
      </c>
      <c r="D28" s="5" t="inlineStr">
        <is>
          <t>—</t>
        </is>
      </c>
      <c r="E28" s="5" t="inlineStr">
        <is>
          <t>read</t>
        </is>
      </c>
      <c r="F28" s="12" t="n"/>
      <c r="G28" s="26" t="inlineStr">
        <is>
          <t>No uploaded document stated this, so the value reads MISSING. Nothing was assumed to fill it.</t>
        </is>
      </c>
    </row>
    <row r="29">
      <c r="A29" s="30" t="inlineStr">
        <is>
          <t>summary.county</t>
        </is>
      </c>
      <c r="B29" s="5" t="inlineStr">
        <is>
          <t>Maricopa</t>
        </is>
      </c>
      <c r="C29" s="5" t="inlineStr">
        <is>
          <t>Illustrative address</t>
        </is>
      </c>
      <c r="D29" s="5" t="inlineStr">
        <is>
          <t>—</t>
        </is>
      </c>
      <c r="E29" s="5" t="inlineStr">
        <is>
          <t>read</t>
        </is>
      </c>
      <c r="F29" s="12" t="n"/>
      <c r="G29" s="26" t="inlineStr">
        <is>
          <t>Illustrative address — not the asset's real location. The market tabs were pulled for this address on 2026-09-14.</t>
        </is>
      </c>
    </row>
    <row r="30">
      <c r="A30" s="30" t="inlineStr">
        <is>
          <t>summary.deal_name</t>
        </is>
      </c>
      <c r="B30" s="5" t="inlineStr">
        <is>
          <t>Sample Mesa Apt</t>
        </is>
      </c>
      <c r="C30" s="5" t="inlineStr">
        <is>
          <t>Illustrative name</t>
        </is>
      </c>
      <c r="D30" s="5" t="inlineStr">
        <is>
          <t>—</t>
        </is>
      </c>
      <c r="E30" s="5" t="inlineStr">
        <is>
          <t>read</t>
        </is>
      </c>
      <c r="F30" s="12" t="n"/>
      <c r="G30" s="26" t="inlineStr">
        <is>
          <t>An illustrative name for the public sample. The real asset's name is withheld; the memorandum's own name for it does not appear anywhere in this set.</t>
        </is>
      </c>
    </row>
    <row r="31">
      <c r="A31" s="30" t="inlineStr">
        <is>
          <t>summary.deal_status</t>
        </is>
      </c>
      <c r="B31" s="5" t="inlineStr">
        <is>
          <t>MISSING</t>
        </is>
      </c>
      <c r="C31" s="5" t="inlineStr">
        <is>
          <t>Not stated in the uploaded documents</t>
        </is>
      </c>
      <c r="D31" s="5" t="inlineStr">
        <is>
          <t>—</t>
        </is>
      </c>
      <c r="E31" s="5" t="inlineStr">
        <is>
          <t>read</t>
        </is>
      </c>
      <c r="F31" s="12" t="n"/>
      <c r="G31" s="26" t="inlineStr">
        <is>
          <t>No uploaded document stated this, so the value reads MISSING. Nothing was assumed to fill it.</t>
        </is>
      </c>
    </row>
    <row r="32">
      <c r="A32" s="30" t="inlineStr">
        <is>
          <t>summary.delivery_date</t>
        </is>
      </c>
      <c r="B32" s="5" t="inlineStr">
        <is>
          <t>MISSING</t>
        </is>
      </c>
      <c r="C32" s="5" t="inlineStr">
        <is>
          <t>Not stated in the uploaded documents</t>
        </is>
      </c>
      <c r="D32" s="5" t="inlineStr">
        <is>
          <t>—</t>
        </is>
      </c>
      <c r="E32" s="5" t="inlineStr">
        <is>
          <t>read</t>
        </is>
      </c>
      <c r="F32" s="12" t="n"/>
      <c r="G32" s="26" t="inlineStr">
        <is>
          <t>No uploaded document stated this, so the value reads MISSING. Nothing was assumed to fill it.</t>
        </is>
      </c>
    </row>
    <row r="33">
      <c r="A33" s="30" t="inlineStr">
        <is>
          <t>summary.fair_market_value</t>
        </is>
      </c>
      <c r="B33" s="5" t="inlineStr">
        <is>
          <t>MISSING</t>
        </is>
      </c>
      <c r="C33" s="5" t="inlineStr">
        <is>
          <t>Internal pipeline only</t>
        </is>
      </c>
      <c r="D33" s="5" t="inlineStr">
        <is>
          <t>—</t>
        </is>
      </c>
      <c r="E33" s="5" t="inlineStr">
        <is>
          <t>read</t>
        </is>
      </c>
      <c r="F33" s="12" t="n"/>
      <c r="G33" s="26" t="inlineStr">
        <is>
          <t>The internal pipeline pulls a market value by web lookup; the demo does not reach the web.</t>
        </is>
      </c>
    </row>
    <row r="34">
      <c r="A34" s="30" t="inlineStr">
        <is>
          <t>summary.in_place_rent_avg</t>
        </is>
      </c>
      <c r="B34" s="5" t="inlineStr">
        <is>
          <t>1,456.99</t>
        </is>
      </c>
      <c r="C34" s="5" t="inlineStr">
        <is>
          <t>Sample Property RR 8.4.26.xlsx</t>
        </is>
      </c>
      <c r="D34" s="5" t="inlineStr">
        <is>
          <t>—</t>
        </is>
      </c>
      <c r="E34" s="5" t="inlineStr">
        <is>
          <t>derived</t>
        </is>
      </c>
      <c r="F34" s="5" t="inlineStr">
        <is>
          <t>rent_roll.units</t>
        </is>
      </c>
      <c r="G34" s="26" t="inlineStr">
        <is>
          <t>Unit-weighted across the uploaded roll.</t>
        </is>
      </c>
    </row>
    <row r="35">
      <c r="A35" s="30" t="inlineStr">
        <is>
          <t>summary.listing_brokerage</t>
        </is>
      </c>
      <c r="B35" s="5" t="inlineStr">
        <is>
          <t>Desert Ridge Capital Advisors</t>
        </is>
      </c>
      <c r="C35" s="5" t="inlineStr">
        <is>
          <t>Illustrative name</t>
        </is>
      </c>
      <c r="D35" s="5" t="inlineStr">
        <is>
          <t>—</t>
        </is>
      </c>
      <c r="E35" s="5" t="inlineStr">
        <is>
          <t>read</t>
        </is>
      </c>
      <c r="F35" s="12" t="n"/>
      <c r="G35" s="26" t="inlineStr">
        <is>
          <t>An illustrative name. The real party is withheld from the public sample.</t>
        </is>
      </c>
    </row>
    <row r="36">
      <c r="A36" s="30" t="inlineStr">
        <is>
          <t>summary.market_rent_for_model</t>
        </is>
      </c>
      <c r="B36" s="5" t="inlineStr">
        <is>
          <t>1,344.6</t>
        </is>
      </c>
      <c r="C36" s="5" t="inlineStr">
        <is>
          <t>Sample Property RR 8.4.26.xlsx</t>
        </is>
      </c>
      <c r="D36" s="5" t="inlineStr">
        <is>
          <t>—</t>
        </is>
      </c>
      <c r="E36" s="5" t="inlineStr">
        <is>
          <t>derived</t>
        </is>
      </c>
      <c r="F36" s="5" t="inlineStr">
        <is>
          <t>rent_roll.units</t>
        </is>
      </c>
      <c r="G36" s="26" t="inlineStr">
        <is>
          <t>Unit-weighted across the uploaded roll.</t>
        </is>
      </c>
    </row>
    <row r="37">
      <c r="A37" s="30" t="inlineStr">
        <is>
          <t>summary.msa</t>
        </is>
      </c>
      <c r="B37" s="5" t="inlineStr">
        <is>
          <t>Phoenix MSA</t>
        </is>
      </c>
      <c r="C37" s="5" t="inlineStr">
        <is>
          <t>Illustrative address</t>
        </is>
      </c>
      <c r="D37" s="5" t="inlineStr">
        <is>
          <t>—</t>
        </is>
      </c>
      <c r="E37" s="5" t="inlineStr">
        <is>
          <t>read</t>
        </is>
      </c>
      <c r="F37" s="12" t="n"/>
      <c r="G37" s="26" t="inlineStr">
        <is>
          <t>Illustrative address — not the asset's real location. The market tabs were pulled for this address on 2026-09-14.</t>
        </is>
      </c>
    </row>
    <row r="38">
      <c r="A38" s="30" t="inlineStr">
        <is>
          <t>summary.pricing_guidance</t>
        </is>
      </c>
      <c r="B38" s="5" t="inlineStr">
        <is>
          <t>$215,000 per unit (illustrative)</t>
        </is>
      </c>
      <c r="C38" s="5" t="inlineStr">
        <is>
          <t>Illustrative price</t>
        </is>
      </c>
      <c r="D38" s="5" t="inlineStr">
        <is>
          <t>—</t>
        </is>
      </c>
      <c r="E38" s="5" t="inlineStr">
        <is>
          <t>read</t>
        </is>
      </c>
      <c r="F38" s="12" t="n"/>
      <c r="G38" s="26" t="inlineStr">
        <is>
          <t>Every price and cap rate below is illustrative. The per-unit price is a round number chosen for the sample inside the band a real per-unit sale price occupies; it is not a quote, an offer, or a broker's guidance.</t>
        </is>
      </c>
    </row>
    <row r="39">
      <c r="A39" s="30" t="inlineStr">
        <is>
          <t>summary.product_detail</t>
        </is>
      </c>
      <c r="B39" s="5" t="inlineStr">
        <is>
          <t>Diversified mix of one-, two-, and three-bedroom residences averaging 856 square feet o…</t>
        </is>
      </c>
      <c r="C39" s="5" t="inlineStr">
        <is>
          <t>Sample Property Offering Memorandum.pdf</t>
        </is>
      </c>
      <c r="D39" s="5" t="inlineStr">
        <is>
          <t>p.3</t>
        </is>
      </c>
      <c r="E39" s="5" t="inlineStr">
        <is>
          <t>read</t>
        </is>
      </c>
      <c r="F39" s="12" t="n"/>
      <c r="G39" s="26" t="inlineStr">
        <is>
          <t>the property offers a diversified mix of 
one-, two-, and three-bedroom residences averaging 856 square 
feet</t>
        </is>
      </c>
    </row>
    <row r="40">
      <c r="A40" s="30" t="inlineStr">
        <is>
          <t>summary.product_type</t>
        </is>
      </c>
      <c r="B40" s="5" t="inlineStr">
        <is>
          <t>Garden-style multifamily</t>
        </is>
      </c>
      <c r="C40" s="5" t="inlineStr">
        <is>
          <t>Sample Property Offering Memorandum.pdf</t>
        </is>
      </c>
      <c r="D40" s="5" t="inlineStr">
        <is>
          <t>p.3</t>
        </is>
      </c>
      <c r="E40" s="5" t="inlineStr">
        <is>
          <t>read</t>
        </is>
      </c>
      <c r="F40" s="12" t="n"/>
      <c r="G40" s="26" t="inlineStr">
        <is>
          <t>Stated in the memorandum; withheld from the public sample because it identifies the real asset.</t>
        </is>
      </c>
    </row>
    <row r="41">
      <c r="A41" s="30" t="inlineStr">
        <is>
          <t>summary.school_elementary_name</t>
        </is>
      </c>
      <c r="B41" s="5" t="inlineStr">
        <is>
          <t>Porter Elementary School</t>
        </is>
      </c>
      <c r="C41" s="5" t="inlineStr">
        <is>
          <t>Internal underwriting agent — attendance-zone school lookup</t>
        </is>
      </c>
      <c r="D41" s="5" t="inlineStr">
        <is>
          <t>2151 E Southern Ave, Mesa, AZ 85204 on 2026-09-14</t>
        </is>
      </c>
      <c r="E41" s="5" t="inlineStr">
        <is>
          <t>read</t>
        </is>
      </c>
      <c r="F41" s="12" t="n"/>
      <c r="G41" s="26" t="inlineStr">
        <is>
          <t>Looked up for the illustrative address by the internal underwriting agent; the public demo does not run this on an uploaded deal.</t>
        </is>
      </c>
    </row>
    <row r="42">
      <c r="A42" s="30" t="inlineStr">
        <is>
          <t>summary.school_high_name</t>
        </is>
      </c>
      <c r="B42" s="5" t="inlineStr">
        <is>
          <t>Mesa High School</t>
        </is>
      </c>
      <c r="C42" s="5" t="inlineStr">
        <is>
          <t>Internal underwriting agent — attendance-zone school lookup</t>
        </is>
      </c>
      <c r="D42" s="5" t="inlineStr">
        <is>
          <t>2151 E Southern Ave, Mesa, AZ 85204 on 2026-09-14</t>
        </is>
      </c>
      <c r="E42" s="5" t="inlineStr">
        <is>
          <t>read</t>
        </is>
      </c>
      <c r="F42" s="12" t="n"/>
      <c r="G42" s="26" t="inlineStr">
        <is>
          <t>Looked up for the illustrative address by the internal underwriting agent; the public demo does not run this on an uploaded deal.</t>
        </is>
      </c>
    </row>
    <row r="43">
      <c r="A43" s="30" t="inlineStr">
        <is>
          <t>summary.school_middle_name</t>
        </is>
      </c>
      <c r="B43" s="5" t="inlineStr">
        <is>
          <t>Taylor Junior High School</t>
        </is>
      </c>
      <c r="C43" s="5" t="inlineStr">
        <is>
          <t>Internal underwriting agent — attendance-zone school lookup</t>
        </is>
      </c>
      <c r="D43" s="5" t="inlineStr">
        <is>
          <t>2151 E Southern Ave, Mesa, AZ 85204 on 2026-09-14</t>
        </is>
      </c>
      <c r="E43" s="5" t="inlineStr">
        <is>
          <t>read</t>
        </is>
      </c>
      <c r="F43" s="12" t="n"/>
      <c r="G43" s="26" t="inlineStr">
        <is>
          <t>Looked up for the illustrative address by the internal underwriting agent; the public demo does not run this on an uploaded deal.</t>
        </is>
      </c>
    </row>
    <row r="44">
      <c r="A44" s="30" t="inlineStr">
        <is>
          <t>summary.seller_entity</t>
        </is>
      </c>
      <c r="B44" s="5" t="inlineStr">
        <is>
          <t>Sonoran Residential Holdings LLC</t>
        </is>
      </c>
      <c r="C44" s="5" t="inlineStr">
        <is>
          <t>Illustrative name</t>
        </is>
      </c>
      <c r="D44" s="5" t="inlineStr">
        <is>
          <t>—</t>
        </is>
      </c>
      <c r="E44" s="5" t="inlineStr">
        <is>
          <t>read</t>
        </is>
      </c>
      <c r="F44" s="12" t="n"/>
      <c r="G44" s="26" t="inlineStr">
        <is>
          <t>An illustrative name. The real party is withheld from the public sample.</t>
        </is>
      </c>
    </row>
    <row r="45">
      <c r="A45" s="30" t="inlineStr">
        <is>
          <t>summary.state</t>
        </is>
      </c>
      <c r="B45" s="5" t="inlineStr">
        <is>
          <t>AZ</t>
        </is>
      </c>
      <c r="C45" s="5" t="inlineStr">
        <is>
          <t>Illustrative address</t>
        </is>
      </c>
      <c r="D45" s="5" t="inlineStr">
        <is>
          <t>—</t>
        </is>
      </c>
      <c r="E45" s="5" t="inlineStr">
        <is>
          <t>read</t>
        </is>
      </c>
      <c r="F45" s="12" t="n"/>
      <c r="G45" s="26" t="inlineStr">
        <is>
          <t>Illustrative address — not the asset's real location. The market tabs were pulled for this address on 2026-09-14.</t>
        </is>
      </c>
    </row>
    <row r="46">
      <c r="A46" s="30" t="inlineStr">
        <is>
          <t>summary.street_address</t>
        </is>
      </c>
      <c r="B46" s="5" t="inlineStr">
        <is>
          <t>2151 E Southern Ave</t>
        </is>
      </c>
      <c r="C46" s="5" t="inlineStr">
        <is>
          <t>Illustrative address</t>
        </is>
      </c>
      <c r="D46" s="5" t="inlineStr">
        <is>
          <t>—</t>
        </is>
      </c>
      <c r="E46" s="5" t="inlineStr">
        <is>
          <t>read</t>
        </is>
      </c>
      <c r="F46" s="12" t="n"/>
      <c r="G46" s="26" t="inlineStr">
        <is>
          <t>Illustrative address — not the asset's real location. The market tabs were pulled for this address on 2026-09-14.</t>
        </is>
      </c>
    </row>
    <row r="47">
      <c r="A47" s="30" t="inlineStr">
        <is>
          <t>summary.structure</t>
        </is>
      </c>
      <c r="B47" s="5" t="inlineStr">
        <is>
          <t>1 &amp; 2 stories</t>
        </is>
      </c>
      <c r="C47" s="5" t="inlineStr">
        <is>
          <t>Sample Property Offering Memorandum.pdf</t>
        </is>
      </c>
      <c r="D47" s="5" t="inlineStr">
        <is>
          <t>p.10</t>
        </is>
      </c>
      <c r="E47" s="5" t="inlineStr">
        <is>
          <t>read</t>
        </is>
      </c>
      <c r="F47" s="12" t="n"/>
      <c r="G47" s="26" t="inlineStr">
        <is>
          <t>Number of Stories 1 &amp; 2</t>
        </is>
      </c>
    </row>
    <row r="48">
      <c r="A48" s="30" t="inlineStr">
        <is>
          <t>summary.tax_area_code</t>
        </is>
      </c>
      <c r="B48" s="5" t="inlineStr">
        <is>
          <t>MISSING</t>
        </is>
      </c>
      <c r="C48" s="5" t="inlineStr">
        <is>
          <t>Internal pipeline only</t>
        </is>
      </c>
      <c r="D48" s="5" t="inlineStr">
        <is>
          <t>—</t>
        </is>
      </c>
      <c r="E48" s="5" t="inlineStr">
        <is>
          <t>read</t>
        </is>
      </c>
      <c r="F48" s="12" t="n"/>
      <c r="G48" s="26" t="inlineStr">
        <is>
          <t>See parcel: read off the county assessor's portal by the internal pipeline only.</t>
        </is>
      </c>
    </row>
    <row r="49">
      <c r="A49" s="30" t="inlineStr">
        <is>
          <t>summary.tax_basis_label</t>
        </is>
      </c>
      <c r="B49" s="5" t="inlineStr">
        <is>
          <t>Limited property value (LPV), per the county assessor</t>
        </is>
      </c>
      <c r="C49" s="5" t="inlineStr">
        <is>
          <t>Vendored county rate table</t>
        </is>
      </c>
      <c r="D49" s="5" t="inlineStr">
        <is>
          <t>property_tax_table.STATE_RULES['AZ']</t>
        </is>
      </c>
      <c r="E49" s="5" t="inlineStr">
        <is>
          <t>read</t>
        </is>
      </c>
      <c r="F49" s="12" t="n"/>
      <c r="G49" s="26" t="inlineStr">
        <is>
          <t>What the assessed basis is in this state.</t>
        </is>
      </c>
    </row>
    <row r="50">
      <c r="A50" s="30" t="inlineStr">
        <is>
          <t>summary.tax_basis_note</t>
        </is>
      </c>
      <c r="B50" s="5" t="inlineStr">
        <is>
          <t>Arizona taxes the limited property value, not the price. Under Proposition 117 (Ariz. C…</t>
        </is>
      </c>
      <c r="C50" s="5" t="inlineStr">
        <is>
          <t>Vendored county rate table</t>
        </is>
      </c>
      <c r="D50" s="5" t="inlineStr">
        <is>
          <t>property_tax_table.STATE_RULES['AZ']</t>
        </is>
      </c>
      <c r="E50" s="5" t="inlineStr">
        <is>
          <t>read</t>
        </is>
      </c>
      <c r="F50" s="12" t="n"/>
      <c r="G50" s="26" t="inlineStr">
        <is>
          <t>How the basis behaves on a sale, with the authority.</t>
        </is>
      </c>
    </row>
    <row r="51">
      <c r="A51" s="30" t="inlineStr">
        <is>
          <t>summary.tax_billed_amount</t>
        </is>
      </c>
      <c r="B51" s="5" t="inlineStr">
        <is>
          <t>249,122</t>
        </is>
      </c>
      <c r="C51" s="5" t="inlineStr">
        <is>
          <t>Sample Property Offering Memorandum.pdf</t>
        </is>
      </c>
      <c r="D51" s="5" t="inlineStr">
        <is>
          <t>p.10</t>
        </is>
      </c>
      <c r="E51" s="5" t="inlineStr">
        <is>
          <t>read</t>
        </is>
      </c>
      <c r="F51" s="12" t="n"/>
      <c r="G51" s="26" t="inlineStr">
        <is>
          <t>2025 Property Tax $249,122</t>
        </is>
      </c>
    </row>
    <row r="52">
      <c r="A52" s="30" t="inlineStr">
        <is>
          <t>summary.tax_billed_year</t>
        </is>
      </c>
      <c r="B52" s="5" t="inlineStr">
        <is>
          <t>2,025</t>
        </is>
      </c>
      <c r="C52" s="5" t="inlineStr">
        <is>
          <t>Sample Property Offering Memorandum.pdf</t>
        </is>
      </c>
      <c r="D52" s="5" t="inlineStr">
        <is>
          <t>p.10</t>
        </is>
      </c>
      <c r="E52" s="5" t="inlineStr">
        <is>
          <t>read</t>
        </is>
      </c>
      <c r="F52" s="12" t="n"/>
      <c r="G52" s="26" t="inlineStr">
        <is>
          <t>2025 Property Tax $249,122</t>
        </is>
      </c>
    </row>
    <row r="53">
      <c r="A53" s="30" t="inlineStr">
        <is>
          <t>summary.tax_divisor</t>
        </is>
      </c>
      <c r="B53" s="5" t="inlineStr">
        <is>
          <t>100</t>
        </is>
      </c>
      <c r="C53" s="5" t="inlineStr">
        <is>
          <t>Vendored county rate table</t>
        </is>
      </c>
      <c r="D53" s="5" t="inlineStr">
        <is>
          <t>property_tax_table.STATE_RULES['AZ']</t>
        </is>
      </c>
      <c r="E53" s="5" t="inlineStr">
        <is>
          <t>read</t>
        </is>
      </c>
      <c r="F53" s="12" t="n"/>
      <c r="G53" s="26" t="inlineStr">
        <is>
          <t>The rate's unit in Arizona: per $100 of assessed value.</t>
        </is>
      </c>
    </row>
    <row r="54">
      <c r="A54" s="30" t="inlineStr">
        <is>
          <t>summary.tax_exemption</t>
        </is>
      </c>
      <c r="B54" s="5" t="inlineStr">
        <is>
          <t>MISSING</t>
        </is>
      </c>
      <c r="C54" s="5" t="inlineStr">
        <is>
          <t>Internal pipeline only</t>
        </is>
      </c>
      <c r="D54" s="5" t="inlineStr">
        <is>
          <t>—</t>
        </is>
      </c>
      <c r="E54" s="5" t="inlineStr">
        <is>
          <t>read</t>
        </is>
      </c>
      <c r="F54" s="12" t="n"/>
      <c r="G54" s="26" t="inlineStr">
        <is>
          <t>See parcel: read off the county assessor's portal by the internal pipeline only.</t>
        </is>
      </c>
    </row>
    <row r="55">
      <c r="A55" s="30" t="inlineStr">
        <is>
          <t>summary.tax_parcel_id</t>
        </is>
      </c>
      <c r="B55" s="5" t="inlineStr">
        <is>
          <t>301-04-002K</t>
        </is>
      </c>
      <c r="C55" s="5" t="inlineStr">
        <is>
          <t>Sample Property Offering Memorandum.pdf</t>
        </is>
      </c>
      <c r="D55" s="5" t="inlineStr">
        <is>
          <t>p.10</t>
        </is>
      </c>
      <c r="E55" s="5" t="inlineStr">
        <is>
          <t>read</t>
        </is>
      </c>
      <c r="F55" s="12" t="n"/>
      <c r="G55" s="26" t="inlineStr">
        <is>
          <t>Tax Parcel Number 301-04-002K</t>
        </is>
      </c>
    </row>
    <row r="56">
      <c r="A56" s="30" t="inlineStr">
        <is>
          <t>summary.tax_per_unit_flag</t>
        </is>
      </c>
      <c r="B56" s="5" t="inlineStr">
        <is>
          <t>In band (the statement's line per unit): $717 per unit a year is inside the AZ band of …</t>
        </is>
      </c>
      <c r="C56" s="5" t="inlineStr">
        <is>
          <t>Vendored county rate table</t>
        </is>
      </c>
      <c r="D56" s="5" t="inlineStr">
        <is>
          <t>property_tax_table.band_check</t>
        </is>
      </c>
      <c r="E56" s="5" t="inlineStr">
        <is>
          <t>derived</t>
        </is>
      </c>
      <c r="F56" s="5" t="inlineStr">
        <is>
          <t>summary.tax_statement_amount, summary.unit_count, summary.state</t>
        </is>
      </c>
      <c r="G56" s="26" t="inlineStr">
        <is>
          <t>A sanity check against the state's typical per-unit range. It flags; it never changes a figure.</t>
        </is>
      </c>
    </row>
    <row r="57">
      <c r="A57" s="30" t="inlineStr">
        <is>
          <t>summary.tax_rate_as_billed</t>
        </is>
      </c>
      <c r="B57" s="5" t="inlineStr">
        <is>
          <t>10.26</t>
        </is>
      </c>
      <c r="C57" s="5" t="inlineStr">
        <is>
          <t>Vendored county rate table</t>
        </is>
      </c>
      <c r="D57" s="5" t="inlineStr">
        <is>
          <t>property_tax_table.COUNTY_RATES[('AZ', 'maricopa')]</t>
        </is>
      </c>
      <c r="E57" s="5" t="inlineStr">
        <is>
          <t>read</t>
        </is>
      </c>
      <c r="F57" s="12" t="n"/>
      <c r="G57" s="26"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8">
      <c r="A58" s="30" t="inlineStr">
        <is>
          <t>summary.tax_rate_evidence</t>
        </is>
      </c>
      <c r="B58" s="5" t="inlineStr">
        <is>
          <t>Vendored county rate table: 10.2573 per $100 of assessed value, tax year 2025 — Tax are…</t>
        </is>
      </c>
      <c r="C58" s="5" t="inlineStr">
        <is>
          <t>Vendored county rate table</t>
        </is>
      </c>
      <c r="D58" s="5" t="inlineStr">
        <is>
          <t>property_tax_table.evidence_text</t>
        </is>
      </c>
      <c r="E58" s="5" t="inlineStr">
        <is>
          <t>derived</t>
        </is>
      </c>
      <c r="F58" s="5" t="inlineStr">
        <is>
          <t>summary.state, summary.county, summary.tax_parcel_id, summary.tax_billed_amount, summary.tax_billed_year</t>
        </is>
      </c>
      <c r="G58" s="26" t="inlineStr">
        <is>
          <t>The citation, tax year and jurisdiction stack behind the rate, or the honest note that none is on file. Also records what the uploaded document stated for the field(s) it cites.</t>
        </is>
      </c>
    </row>
    <row r="59">
      <c r="A59" s="30" t="inlineStr">
        <is>
          <t>summary.tax_rate_year</t>
        </is>
      </c>
      <c r="B59" s="5" t="inlineStr">
        <is>
          <t>2,025</t>
        </is>
      </c>
      <c r="C59" s="5" t="inlineStr">
        <is>
          <t>Vendored county rate table</t>
        </is>
      </c>
      <c r="D59" s="5" t="inlineStr">
        <is>
          <t>property_tax_table.COUNTY_RATES[('AZ', 'maricopa')]</t>
        </is>
      </c>
      <c r="E59" s="5" t="inlineStr">
        <is>
          <t>read</t>
        </is>
      </c>
      <c r="F59" s="12" t="n"/>
      <c r="G59" s="26" t="inlineStr">
        <is>
          <t>The tax year of the rate on file. A bill from another year is displayed, not tied out.</t>
        </is>
      </c>
    </row>
    <row r="60">
      <c r="A60" s="30" t="inlineStr">
        <is>
          <t>summary.tax_statement_amount</t>
        </is>
      </c>
      <c r="B60" s="5" t="inlineStr">
        <is>
          <t>239,566.79</t>
        </is>
      </c>
      <c r="C60" s="5" t="inlineStr">
        <is>
          <t>Sample Property T-12 June 26.xlsx</t>
        </is>
      </c>
      <c r="D60" s="5" t="inlineStr">
        <is>
          <t>Property Taxes lines</t>
        </is>
      </c>
      <c r="E60" s="5" t="inlineStr">
        <is>
          <t>computed</t>
        </is>
      </c>
      <c r="F60" s="5" t="inlineStr">
        <is>
          <t>t12.rows</t>
        </is>
      </c>
      <c r="G60" s="26" t="inlineStr">
        <is>
          <t>The statement's lines categorised as Property Taxes, summed over its twelve months. As billed in the statement, not the county's bill.</t>
        </is>
      </c>
    </row>
    <row r="61">
      <c r="A61" s="30" t="inlineStr">
        <is>
          <t>summary.unit_count</t>
        </is>
      </c>
      <c r="B61" s="5" t="inlineStr">
        <is>
          <t>334</t>
        </is>
      </c>
      <c r="C61" s="5" t="inlineStr">
        <is>
          <t>Sample Property RR 8.4.26.xlsx</t>
        </is>
      </c>
      <c r="D61" s="5" t="inlineStr">
        <is>
          <t>—</t>
        </is>
      </c>
      <c r="E61" s="5" t="inlineStr">
        <is>
          <t>derived</t>
        </is>
      </c>
      <c r="F61" s="5" t="inlineStr">
        <is>
          <t>rent_roll.units</t>
        </is>
      </c>
      <c r="G61" s="26" t="inlineStr">
        <is>
          <t>Counted from the rows of the uploaded rent roll.</t>
        </is>
      </c>
    </row>
    <row r="62">
      <c r="A62" s="30" t="inlineStr">
        <is>
          <t>summary.year_built</t>
        </is>
      </c>
      <c r="B62" s="5" t="inlineStr">
        <is>
          <t>1,981</t>
        </is>
      </c>
      <c r="C62" s="5" t="inlineStr">
        <is>
          <t>Sample Property Offering Memorandum.pdf</t>
        </is>
      </c>
      <c r="D62" s="5" t="inlineStr">
        <is>
          <t>p.10</t>
        </is>
      </c>
      <c r="E62" s="5" t="inlineStr">
        <is>
          <t>read</t>
        </is>
      </c>
      <c r="F62" s="12" t="n"/>
      <c r="G62" s="26" t="inlineStr">
        <is>
          <t>Y ear Built 1981</t>
        </is>
      </c>
    </row>
    <row r="63">
      <c r="A63" s="30" t="inlineStr">
        <is>
          <t>summary.zip</t>
        </is>
      </c>
      <c r="B63" s="5" t="inlineStr">
        <is>
          <t>85204</t>
        </is>
      </c>
      <c r="C63" s="5" t="inlineStr">
        <is>
          <t>Illustrative address</t>
        </is>
      </c>
      <c r="D63" s="5" t="inlineStr">
        <is>
          <t>—</t>
        </is>
      </c>
      <c r="E63" s="5" t="inlineStr">
        <is>
          <t>read</t>
        </is>
      </c>
      <c r="F63" s="12" t="n"/>
      <c r="G63" s="26" t="inlineStr">
        <is>
          <t>Illustrative address — not the asset's real location. The market tabs were pulled for this address on 2026-09-14.</t>
        </is>
      </c>
    </row>
    <row r="64">
      <c r="A64" s="30" t="inlineStr">
        <is>
          <t>supply.projects</t>
        </is>
      </c>
      <c r="B64" s="5" t="inlineStr">
        <is>
          <t>32 entries</t>
        </is>
      </c>
      <c r="C64" s="5" t="inlineStr">
        <is>
          <t>Public permit and entitlement records (the operator's supply pipeline), via the market-report service</t>
        </is>
      </c>
      <c r="D64" s="5" t="inlineStr">
        <is>
          <t>POST /report (format json)</t>
        </is>
      </c>
      <c r="E64" s="5" t="inlineStr">
        <is>
          <t>derived</t>
        </is>
      </c>
      <c r="F64" s="5" t="inlineStr">
        <is>
          <t>supply.rings</t>
        </is>
      </c>
      <c r="G64" s="26" t="inlineStr">
        <is>
          <t>The developments the counts are made of, within 3 mi: one row per development, reconciled across the pipeline's lifecycle layers and shown at the furthest stage any layer carries.</t>
        </is>
      </c>
    </row>
    <row r="65">
      <c r="A65" s="30" t="inlineStr">
        <is>
          <t>supply.rings</t>
        </is>
      </c>
      <c r="B65" s="5" t="inlineStr">
        <is>
          <t>8 entries</t>
        </is>
      </c>
      <c r="C65" s="5" t="inlineStr">
        <is>
          <t>Public permit and entitlement records (the operator's supply pipeline), via the market-report service</t>
        </is>
      </c>
      <c r="D65" s="5" t="inlineStr">
        <is>
          <t>POST /report (format json)</t>
        </is>
      </c>
      <c r="E65" s="5" t="inlineStr">
        <is>
          <t>read</t>
        </is>
      </c>
      <c r="F65" s="12" t="n"/>
      <c r="G65" s="26" t="inlineStr">
        <is>
          <t>Projects and units by cumulative ring and tracked stage, counted from the service's project rows.</t>
        </is>
      </c>
    </row>
    <row r="66">
      <c r="A66" s="30" t="inlineStr">
        <is>
          <t>t12.month_labels</t>
        </is>
      </c>
      <c r="B66" s="5" t="inlineStr">
        <is>
          <t>12 entries</t>
        </is>
      </c>
      <c r="C66" s="5" t="inlineStr">
        <is>
          <t>Sample Property T-12 June 26.xlsx</t>
        </is>
      </c>
      <c r="D66" s="5" t="inlineStr">
        <is>
          <t>statement</t>
        </is>
      </c>
      <c r="E66" s="5" t="inlineStr">
        <is>
          <t>read</t>
        </is>
      </c>
      <c r="F66" s="12" t="n"/>
      <c r="G66" s="26" t="inlineStr">
        <is>
          <t>Read from the uploaded statement.</t>
        </is>
      </c>
    </row>
    <row r="67">
      <c r="A67" s="30" t="inlineStr">
        <is>
          <t>t12.source_subtotals</t>
        </is>
      </c>
      <c r="B67" s="5" t="inlineStr">
        <is>
          <t>4 keys</t>
        </is>
      </c>
      <c r="C67" s="5" t="inlineStr">
        <is>
          <t>Sample Property T-12 June 26.xlsx</t>
        </is>
      </c>
      <c r="D67" s="5" t="inlineStr">
        <is>
          <t>header block</t>
        </is>
      </c>
      <c r="E67" s="5" t="inlineStr">
        <is>
          <t>read</t>
        </is>
      </c>
      <c r="F67" s="12" t="n"/>
      <c r="G67" s="31" t="n"/>
    </row>
    <row r="68">
      <c r="A68" s="30" t="inlineStr">
        <is>
          <t>t12.units</t>
        </is>
      </c>
      <c r="B68" s="5" t="inlineStr">
        <is>
          <t>334</t>
        </is>
      </c>
      <c r="C68" s="5" t="inlineStr">
        <is>
          <t>Sample Property T-12 June 26.xlsx</t>
        </is>
      </c>
      <c r="D68" s="5" t="inlineStr">
        <is>
          <t>statement</t>
        </is>
      </c>
      <c r="E68" s="5" t="inlineStr">
        <is>
          <t>read</t>
        </is>
      </c>
      <c r="F68" s="12" t="n"/>
      <c r="G68" s="26" t="inlineStr">
        <is>
          <t>Read from the uploaded statement.</t>
        </is>
      </c>
    </row>
    <row r="69">
      <c r="A69" s="30" t="inlineStr">
        <is>
          <t>trade_out.rows</t>
        </is>
      </c>
      <c r="B69" s="5" t="inlineStr">
        <is>
          <t>0 entries</t>
        </is>
      </c>
      <c r="C69" s="5" t="inlineStr">
        <is>
          <t>Internal pipeline only</t>
        </is>
      </c>
      <c r="D69" s="5" t="inlineStr">
        <is>
          <t>—</t>
        </is>
      </c>
      <c r="E69" s="5" t="inlineStr">
        <is>
          <t>read</t>
        </is>
      </c>
      <c r="F69" s="12" t="n"/>
      <c r="G69" s="26"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