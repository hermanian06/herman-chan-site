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eal Summary" sheetId="1" state="visible" r:id="rId1"/>
    <sheet name="Rent Comps" sheetId="2" state="visible" r:id="rId2"/>
    <sheet name="Demand" sheetId="3" state="visible" r:id="rId3"/>
    <sheet name="Supply" sheetId="4" state="visible" r:id="rId4"/>
    <sheet name="Audit Trail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.0"/>
    <numFmt numFmtId="165" formatCode="0.0%"/>
    <numFmt numFmtId="166" formatCode="0.0"/>
    <numFmt numFmtId="167" formatCode="yyyy-mm-dd"/>
    <numFmt numFmtId="168" formatCode="mm/dd/yyyy"/>
  </numFmts>
  <fonts count="7">
    <font>
      <name val="Calibri"/>
      <family val="2"/>
      <color theme="1"/>
      <sz val="11"/>
      <scheme val="minor"/>
    </font>
    <font>
      <name val="Calibri"/>
      <b val="1"/>
      <sz val="14"/>
    </font>
    <font>
      <name val="Calibri"/>
      <i val="1"/>
      <color rgb="00595959"/>
      <sz val="10"/>
    </font>
    <font>
      <name val="Calibri"/>
      <b val="1"/>
      <color rgb="00FFFFFF"/>
      <sz val="11"/>
    </font>
    <font>
      <name val="Calibri"/>
      <sz val="11"/>
    </font>
    <font>
      <name val="Calibri"/>
      <b val="1"/>
      <sz val="11"/>
    </font>
    <font>
      <name val="Calibri"/>
      <sz val="10"/>
    </font>
  </fonts>
  <fills count="5">
    <fill>
      <patternFill/>
    </fill>
    <fill>
      <patternFill patternType="gray125"/>
    </fill>
    <fill>
      <patternFill patternType="solid">
        <fgColor rgb="00595959"/>
      </patternFill>
    </fill>
    <fill>
      <patternFill patternType="solid">
        <fgColor rgb="00D9D9D9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bottom style="medium">
        <color rgb="00808080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0" borderId="1" pivotButton="0" quotePrefix="0" xfId="0"/>
    <xf numFmtId="0" fontId="3" fillId="2" borderId="0" pivotButton="0" quotePrefix="0" xfId="0"/>
    <xf numFmtId="49" fontId="4" fillId="0" borderId="0" pivotButton="0" quotePrefix="0" xfId="0"/>
    <xf numFmtId="0" fontId="2" fillId="0" borderId="0" applyAlignment="1" pivotButton="0" quotePrefix="0" xfId="0">
      <alignment vertical="top" wrapText="1"/>
    </xf>
    <xf numFmtId="3" fontId="4" fillId="0" borderId="0" pivotButton="0" quotePrefix="0" xfId="0"/>
    <xf numFmtId="1" fontId="4" fillId="0" borderId="0" pivotButton="0" quotePrefix="0" xfId="0"/>
    <xf numFmtId="1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5" fillId="3" borderId="2" applyAlignment="1" pivotButton="0" quotePrefix="0" xfId="0">
      <alignment vertical="top" wrapText="1"/>
    </xf>
    <xf numFmtId="166" fontId="4" fillId="0" borderId="0" pivotButton="0" quotePrefix="0" xfId="0"/>
    <xf numFmtId="4" fontId="4" fillId="0" borderId="0" pivotButton="0" quotePrefix="0" xfId="0"/>
    <xf numFmtId="168" fontId="4" fillId="0" borderId="0" pivotButton="0" quotePrefix="0" xfId="0"/>
    <xf numFmtId="49" fontId="5" fillId="4" borderId="0" pivotButton="0" quotePrefix="0" xfId="0"/>
    <xf numFmtId="3" fontId="5" fillId="4" borderId="0" pivotButton="0" quotePrefix="0" xfId="0"/>
    <xf numFmtId="165" fontId="5" fillId="4" borderId="0" pivotButton="0" quotePrefix="0" xfId="0"/>
    <xf numFmtId="3" fontId="0" fillId="0" borderId="0" pivotButton="0" quotePrefix="0" xfId="0"/>
    <xf numFmtId="49" fontId="6" fillId="0" borderId="0" pivotButton="0" quotePrefix="0" xfId="0"/>
    <xf numFmtId="49" fontId="4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7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46" customWidth="1" min="2" max="2"/>
    <col width="62" customWidth="1" min="3" max="3"/>
  </cols>
  <sheetData>
    <row r="1">
      <c r="A1" s="1" t="inlineStr">
        <is>
          <t>Deal summary</t>
        </is>
      </c>
    </row>
    <row r="2">
      <c r="A2" s="2" t="inlineStr">
        <is>
          <t>Fixture Park — as of 2026-06-30</t>
        </is>
      </c>
    </row>
    <row r="3">
      <c r="A3" s="2" t="inlineStr">
        <is>
          <t>AI Underwriting Pipeline — Sample Outputs</t>
        </is>
      </c>
    </row>
    <row r="4">
      <c r="A4" s="3" t="n"/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Identification</t>
        </is>
      </c>
      <c r="B5" s="4" t="n"/>
      <c r="C5" s="4" t="n"/>
    </row>
    <row r="6">
      <c r="A6" s="5" t="inlineStr">
        <is>
          <t>Deal name</t>
        </is>
      </c>
      <c r="B6" s="5" t="inlineStr">
        <is>
          <t>Fixture Park</t>
        </is>
      </c>
    </row>
    <row r="7">
      <c r="A7" s="5" t="inlineStr">
        <is>
          <t>Street address</t>
        </is>
      </c>
      <c r="B7" s="5" t="inlineStr">
        <is>
          <t>1400 Example Parkway</t>
        </is>
      </c>
    </row>
    <row r="8">
      <c r="A8" s="5" t="inlineStr">
        <is>
          <t>City</t>
        </is>
      </c>
      <c r="B8" s="5" t="inlineStr">
        <is>
          <t>Sample City</t>
        </is>
      </c>
    </row>
    <row r="9">
      <c r="A9" s="5" t="inlineStr">
        <is>
          <t>State</t>
        </is>
      </c>
      <c r="B9" s="5" t="inlineStr">
        <is>
          <t>TX</t>
        </is>
      </c>
    </row>
    <row r="10">
      <c r="A10" s="5" t="inlineStr">
        <is>
          <t>ZIP</t>
        </is>
      </c>
      <c r="B10" s="5" t="inlineStr">
        <is>
          <t>75000</t>
        </is>
      </c>
    </row>
    <row r="11">
      <c r="A11" s="5" t="inlineStr">
        <is>
          <t>County</t>
        </is>
      </c>
      <c r="B11" s="5" t="inlineStr">
        <is>
          <t>Example County</t>
        </is>
      </c>
    </row>
    <row r="12">
      <c r="A12" s="5" t="inlineStr">
        <is>
          <t>MSA</t>
        </is>
      </c>
      <c r="B12" s="5" t="inlineStr">
        <is>
          <t>Sample City MSA</t>
        </is>
      </c>
    </row>
    <row r="13">
      <c r="A13" s="5" t="inlineStr">
        <is>
          <t>Address resolved from</t>
        </is>
      </c>
      <c r="B13" s="5" t="inlineStr">
        <is>
          <t>Street address read from the synthetic marketing package; city/state/ZIP confirmed against the same document.</t>
        </is>
      </c>
      <c r="C13" s="6" t="inlineStr">
        <is>
          <t>How the address was resolved, and from which document.</t>
        </is>
      </c>
    </row>
    <row r="15">
      <c r="A15" s="4" t="inlineStr">
        <is>
          <t>Property</t>
        </is>
      </c>
      <c r="B15" s="4" t="n"/>
      <c r="C15" s="4" t="n"/>
    </row>
    <row r="16">
      <c r="A16" s="5" t="inlineStr">
        <is>
          <t>Product type</t>
        </is>
      </c>
      <c r="B16" s="5" t="inlineStr">
        <is>
          <t>MF</t>
        </is>
      </c>
    </row>
    <row r="17">
      <c r="A17" s="5" t="inlineStr">
        <is>
          <t>Structure</t>
        </is>
      </c>
      <c r="B17" s="5" t="inlineStr">
        <is>
          <t>Three-story garden, surface parked</t>
        </is>
      </c>
    </row>
    <row r="18">
      <c r="A18" s="5" t="inlineStr">
        <is>
          <t>Unit count</t>
        </is>
      </c>
      <c r="B18" s="7" t="n">
        <v>180</v>
      </c>
      <c r="C18" s="6" t="inlineStr">
        <is>
          <t>Divisor for every per-unit figure in the output set.</t>
        </is>
      </c>
    </row>
    <row r="19">
      <c r="A19" s="5" t="inlineStr">
        <is>
          <t>Year built</t>
        </is>
      </c>
      <c r="B19" s="8" t="n">
        <v>2019</v>
      </c>
    </row>
    <row r="20">
      <c r="A20" s="5" t="inlineStr">
        <is>
          <t>Product detail</t>
        </is>
      </c>
      <c r="B20" s="5" t="inlineStr">
        <is>
          <t>180 units across six plans: 62 one-bedroom (720–795 SF), 78 two-bedroom (1,050–1,140 SF), 26 three-bedroom flats (1,380 SF), 14 three-bedroom townhomes (1,620 SF). Washer/dryer in unit; detached garages on 24 units.</t>
        </is>
      </c>
    </row>
    <row r="21">
      <c r="A21" s="5" t="inlineStr">
        <is>
          <t>Construction status</t>
        </is>
      </c>
      <c r="B21" s="5" t="inlineStr">
        <is>
          <t>Stabilized</t>
        </is>
      </c>
    </row>
    <row r="22">
      <c r="A22" s="5" t="inlineStr">
        <is>
          <t>Delivery / CO date</t>
        </is>
      </c>
      <c r="B22" s="5" t="inlineStr">
        <is>
          <t>Delivered 2019; fully stabilized since 2021</t>
        </is>
      </c>
    </row>
    <row r="24">
      <c r="A24" s="4" t="inlineStr">
        <is>
          <t>Parties</t>
        </is>
      </c>
      <c r="B24" s="4" t="n"/>
      <c r="C24" s="4" t="n"/>
    </row>
    <row r="25">
      <c r="A25" s="5" t="inlineStr">
        <is>
          <t>Seller entity</t>
        </is>
      </c>
      <c r="B25" s="5" t="inlineStr">
        <is>
          <t>Sample City Residential Holdings LLC</t>
        </is>
      </c>
    </row>
    <row r="26">
      <c r="A26" s="5" t="inlineStr">
        <is>
          <t>Listing brokerage</t>
        </is>
      </c>
      <c r="B26" s="5" t="inlineStr">
        <is>
          <t>Listing brokerage</t>
        </is>
      </c>
    </row>
    <row r="27">
      <c r="A27" s="5" t="inlineStr">
        <is>
          <t>Deal status</t>
        </is>
      </c>
      <c r="B27" s="5" t="inlineStr">
        <is>
          <t>On the market</t>
        </is>
      </c>
    </row>
    <row r="29">
      <c r="A29" s="4" t="inlineStr">
        <is>
          <t>Pricing (illustrative)</t>
        </is>
      </c>
      <c r="B29" s="4" t="n"/>
      <c r="C29" s="4" t="n"/>
    </row>
    <row r="30">
      <c r="A30" s="5" t="inlineStr">
        <is>
          <t>Pricing guidance</t>
        </is>
      </c>
      <c r="B30" s="5" t="inlineStr">
        <is>
          <t>$215,000 per unit (illustrative)</t>
        </is>
      </c>
    </row>
    <row r="31">
      <c r="A31" s="5" t="inlineStr">
        <is>
          <t>Price per unit (illustrative)</t>
        </is>
      </c>
      <c r="B31" s="7" t="n">
        <v>215000</v>
      </c>
      <c r="C31" s="6" t="inlineStr">
        <is>
          <t>Every price and cap rate below is illustrative. The per-unit price is a round number chosen to sit inside the band a real per-unit sale price occupies; it is not a quote, an offer, or a broker's guidance.</t>
        </is>
      </c>
    </row>
    <row r="32">
      <c r="A32" s="5" t="inlineStr">
        <is>
          <t>Total price (illustrative)</t>
        </is>
      </c>
      <c r="B32" s="7">
        <f>B31*B18</f>
        <v/>
      </c>
      <c r="C32" s="6" t="inlineStr">
        <is>
          <t>Price per unit times unit count.</t>
        </is>
      </c>
    </row>
    <row r="33">
      <c r="A33" s="5" t="inlineStr">
        <is>
          <t>Approximate project value (illustrative)</t>
        </is>
      </c>
      <c r="B33" s="7">
        <f>B32</f>
        <v/>
      </c>
    </row>
    <row r="34">
      <c r="A34" s="5" t="inlineStr">
        <is>
          <t>T-12 net operating income</t>
        </is>
      </c>
      <c r="B34" s="7" t="n">
        <v>2126461.64</v>
      </c>
      <c r="C34" s="6" t="inlineStr">
        <is>
          <t>From the T-12 analysis workbook's P&amp;L rollup.</t>
        </is>
      </c>
    </row>
    <row r="35">
      <c r="A35" s="5" t="inlineStr">
        <is>
          <t>T-12 cap rate (illustrative)</t>
        </is>
      </c>
      <c r="B35" s="9">
        <f>IFERROR(B34/B32,"")</f>
        <v/>
      </c>
    </row>
    <row r="36">
      <c r="A36" s="5" t="inlineStr">
        <is>
          <t>T-3 net operating income (annualized)</t>
        </is>
      </c>
      <c r="B36" s="7" t="n">
        <v>2178700.48</v>
      </c>
      <c r="C36" s="6" t="inlineStr">
        <is>
          <t>Trailing three months times four.</t>
        </is>
      </c>
    </row>
    <row r="37">
      <c r="A37" s="5" t="inlineStr">
        <is>
          <t>T-3 cap rate (illustrative)</t>
        </is>
      </c>
      <c r="B37" s="9">
        <f>IFERROR(B36/B32,"")</f>
        <v/>
      </c>
    </row>
    <row r="39">
      <c r="A39" s="4" t="inlineStr">
        <is>
          <t>Rents</t>
        </is>
      </c>
      <c r="B39" s="4" t="n"/>
      <c r="C39" s="4" t="n"/>
    </row>
    <row r="40">
      <c r="A40" s="5" t="inlineStr">
        <is>
          <t>In-place rent (avg)</t>
        </is>
      </c>
      <c r="B40" s="7" t="n">
        <v>1795.36</v>
      </c>
    </row>
    <row r="41">
      <c r="A41" s="5" t="inlineStr">
        <is>
          <t>Market rent for model</t>
        </is>
      </c>
      <c r="B41" s="7" t="n">
        <v>1834.78</v>
      </c>
      <c r="C41" s="6" t="inlineStr">
        <is>
          <t>New-lease average where the plan has new leases in the lookback window, otherwise in-place. Never a blend of new and renewal.</t>
        </is>
      </c>
    </row>
    <row r="42">
      <c r="A42" s="5" t="inlineStr">
        <is>
          <t>Fair market value</t>
        </is>
      </c>
      <c r="B42" s="7" t="n">
        <v>39600000</v>
      </c>
    </row>
    <row r="44">
      <c r="A44" s="4" t="inlineStr">
        <is>
          <t>Taxes</t>
        </is>
      </c>
      <c r="B44" s="4" t="n"/>
      <c r="C44" s="4" t="n"/>
    </row>
    <row r="45">
      <c r="A45" s="5" t="inlineStr">
        <is>
          <t>Tax rate as billed</t>
        </is>
      </c>
      <c r="B45" s="10" t="n">
        <v>2.148</v>
      </c>
      <c r="C45" s="6" t="inlineStr">
        <is>
          <t>Rate as actually billed — not a statutory or effective rate.</t>
        </is>
      </c>
    </row>
    <row r="46">
      <c r="A46" s="5" t="inlineStr">
        <is>
          <t>Assessed value basis</t>
        </is>
      </c>
      <c r="B46" s="7" t="n">
        <v>23000000</v>
      </c>
    </row>
    <row r="47">
      <c r="A47" s="5" t="inlineStr">
        <is>
          <t>Assessment ratio</t>
        </is>
      </c>
      <c r="B47" s="11" t="n">
        <v>1</v>
      </c>
    </row>
    <row r="48">
      <c r="A48" s="5" t="inlineStr">
        <is>
          <t>Tax divisor</t>
        </is>
      </c>
      <c r="B48" s="7" t="n">
        <v>100</v>
      </c>
    </row>
    <row r="49">
      <c r="A49" s="5" t="inlineStr">
        <is>
          <t>Tax exemption</t>
        </is>
      </c>
      <c r="B49" s="7" t="n">
        <v>0</v>
      </c>
    </row>
    <row r="50">
      <c r="A50" s="5" t="inlineStr">
        <is>
          <t>Parcel / APN</t>
        </is>
      </c>
      <c r="B50" s="5" t="inlineStr">
        <is>
          <t>SYN-000-00-000</t>
        </is>
      </c>
      <c r="C50" s="6" t="inlineStr">
        <is>
          <t>The parcel the bill is issued against.</t>
        </is>
      </c>
    </row>
    <row r="51">
      <c r="A51" s="5" t="inlineStr">
        <is>
          <t>Tax area code</t>
        </is>
      </c>
      <c r="B51" s="5" t="inlineStr">
        <is>
          <t>SYN-0000</t>
        </is>
      </c>
      <c r="C51" s="6" t="inlineStr">
        <is>
          <t>Determines which published rate row applies.</t>
        </is>
      </c>
    </row>
    <row r="52">
      <c r="A52" s="5" t="inlineStr">
        <is>
          <t>Basis label</t>
        </is>
      </c>
      <c r="B52" s="5" t="inlineStr">
        <is>
          <t>Assessed value (synthetic)</t>
        </is>
      </c>
      <c r="C52" s="6" t="inlineStr">
        <is>
          <t>Synthetic basis. On a real deal this row states what the basis IS in that state and whether it resets on sale.</t>
        </is>
      </c>
    </row>
    <row r="53">
      <c r="A53" s="5" t="inlineStr">
        <is>
          <t>Computed annual tax</t>
        </is>
      </c>
      <c r="B53" s="7">
        <f>IFERROR(B46*B47/B48*B45-B49,"MISSING")</f>
        <v/>
      </c>
      <c r="C53" s="6" t="inlineStr">
        <is>
          <t>Rate as billed, 2.148 per $100 of assessed value, read from the synthetic county bill for the 2025 tax year.</t>
        </is>
      </c>
    </row>
    <row r="54">
      <c r="A54" s="5" t="inlineStr">
        <is>
          <t>Computed tax per unit</t>
        </is>
      </c>
      <c r="B54" s="7">
        <f>IFERROR(B53/B18,"MISSING")</f>
        <v/>
      </c>
    </row>
    <row r="55">
      <c r="A55" s="5" t="inlineStr">
        <is>
          <t>Billed by the county (2025)</t>
        </is>
      </c>
      <c r="B55" s="7" t="n">
        <v>494040</v>
      </c>
      <c r="C55" s="6" t="inlineStr">
        <is>
          <t>The county's own figure, for the cross-check below.</t>
        </is>
      </c>
    </row>
    <row r="56">
      <c r="A56" s="5" t="inlineStr">
        <is>
          <t>Check: computed vs billed</t>
        </is>
      </c>
      <c r="B56" s="12">
        <f>IF(OR(NOT(ISNUMBER(B53)),NOT(ISNUMBER(B55)),B55=0),"NOT CHECKED",IF(ABS(B53-B55)/B55&lt;=0.02,"ties","REVIEW"))</f>
        <v/>
      </c>
      <c r="C56" s="6" t="inlineStr">
        <is>
          <t>A computed tax that cannot be tied to the actual bill is an estimate wearing the clothes of a fact.</t>
        </is>
      </c>
    </row>
    <row r="57">
      <c r="A57" s="5" t="inlineStr">
        <is>
          <t>Check: difference</t>
        </is>
      </c>
      <c r="B57" s="7">
        <f>IFERROR(B53-B55,"")</f>
        <v/>
      </c>
    </row>
    <row r="59">
      <c r="A59" s="4" t="inlineStr">
        <is>
          <t>Closing costs at the illustrative price</t>
        </is>
      </c>
      <c r="B59" s="4" t="n"/>
      <c r="C59" s="4" t="n"/>
    </row>
    <row r="60">
      <c r="A60" s="5" t="inlineStr">
        <is>
          <t>Transfer tax</t>
        </is>
      </c>
      <c r="B60" s="7" t="n">
        <v>0</v>
      </c>
      <c r="C60" s="6" t="inlineStr">
        <is>
          <t>No real-estate transfer tax · Tex. Const. art. VIII, sec. 29 (added 2015) · The bar is on enacting a transfer tax after 2016-01-01; Texas had none, so the rate is zero. The same section expressly permits a tax on title insurance, and Texas title premiums are state-promulgated and material — a zero here does not mean a cheap closing.</t>
        </is>
      </c>
    </row>
    <row r="61">
      <c r="A61" s="5" t="inlineStr">
        <is>
          <t>Mortgage / recording tax</t>
        </is>
      </c>
      <c r="B61" s="7" t="n">
        <v>0</v>
      </c>
      <c r="C61" s="6" t="inlineStr">
        <is>
          <t>No mortgage tax · No imposing statute; Tex. Loc. Gov't Code ch. 118 · Proven by absence of an imposing statute rather than by an affirmative constitutional bar, which is a weaker form of proof than Arizona's. Recording is a flat per-page schedule.</t>
        </is>
      </c>
    </row>
    <row r="62">
      <c r="A62" s="5" t="inlineStr">
        <is>
          <t>Closing-cost basis</t>
        </is>
      </c>
      <c r="B62" s="7" t="n">
        <v>38700000</v>
      </c>
      <c r="C62" s="6" t="inlineStr">
        <is>
          <t>Transfer tax is computed on the purchase price. A mortgage or recording tax is computed on the LOAN AMOUNT, and is reported as not asserted when no loan is stated — never inferred from the price, which would assume 100% leverage. Rates are verified against a primary authority and carry the citation and the date confirmed; a state absent from the table reports as not asserted rather than as zero.</t>
        </is>
      </c>
    </row>
    <row r="64">
      <c r="A64" s="4" t="inlineStr">
        <is>
          <t>Schools</t>
        </is>
      </c>
      <c r="B64" s="4" t="n"/>
      <c r="C64" s="4" t="n"/>
    </row>
    <row r="65">
      <c r="A65" s="5" t="inlineStr">
        <is>
          <t>Elementary school</t>
        </is>
      </c>
      <c r="B65" s="5" t="inlineStr">
        <is>
          <t>Example Creek Elementary</t>
        </is>
      </c>
    </row>
    <row r="66">
      <c r="A66" s="5" t="inlineStr">
        <is>
          <t>Elementary rating</t>
        </is>
      </c>
      <c r="B66" s="8" t="n">
        <v>7</v>
      </c>
    </row>
    <row r="67">
      <c r="A67" s="5" t="inlineStr">
        <is>
          <t>Middle school</t>
        </is>
      </c>
      <c r="B67" s="5" t="inlineStr">
        <is>
          <t>Example Ridge Middle</t>
        </is>
      </c>
    </row>
    <row r="68">
      <c r="A68" s="5" t="inlineStr">
        <is>
          <t>Middle rating</t>
        </is>
      </c>
      <c r="B68" s="8" t="n">
        <v>6</v>
      </c>
    </row>
    <row r="69">
      <c r="A69" s="5" t="inlineStr">
        <is>
          <t>High school</t>
        </is>
      </c>
      <c r="B69" s="5" t="inlineStr">
        <is>
          <t>Sample City High</t>
        </is>
      </c>
    </row>
    <row r="70">
      <c r="A70" s="5" t="inlineStr">
        <is>
          <t>High rating</t>
        </is>
      </c>
      <c r="B70" s="8" t="n">
        <v>7</v>
      </c>
    </row>
    <row r="72">
      <c r="A72" s="4" t="inlineStr">
        <is>
          <t>Notes</t>
        </is>
      </c>
      <c r="B72" s="4" t="n"/>
      <c r="C72" s="4" t="n"/>
    </row>
    <row r="73">
      <c r="A73" s="5" t="inlineStr">
        <is>
          <t>Notes</t>
        </is>
      </c>
      <c r="B73" s="5" t="inlineStr">
        <is>
          <t>Synthetic deal built to exercise the output formats. Pricing is illustrative and no licensed data source was used. Comps come only from an operator's own weekly rent scrape.</t>
        </is>
      </c>
    </row>
    <row r="75">
      <c r="A75" s="4" t="inlineStr">
        <is>
          <t>Boundaries</t>
        </is>
      </c>
      <c r="B75" s="4" t="n"/>
      <c r="C75" s="4" t="n"/>
    </row>
    <row r="76">
      <c r="A76" s="13" t="inlineStr">
        <is>
          <t>Excluded by design</t>
        </is>
      </c>
      <c r="B76" t="inlineStr">
        <is>
          <t>Third-party licensed rent-comp feeds</t>
        </is>
      </c>
    </row>
    <row r="77">
      <c r="A77" s="13" t="inlineStr">
        <is>
          <t>Excluded by design</t>
        </is>
      </c>
      <c r="B77" t="inlineStr">
        <is>
          <t>Subscription market-data providers</t>
        </is>
      </c>
    </row>
    <row r="78">
      <c r="A78" s="13" t="inlineStr">
        <is>
          <t>Excluded by design</t>
        </is>
      </c>
      <c r="B78" t="inlineStr">
        <is>
          <t>Any employer-owned deal data or template</t>
        </is>
      </c>
    </row>
    <row r="79">
      <c r="A79" s="13" t="inlineStr">
        <is>
          <t>Synthetic deal</t>
        </is>
      </c>
      <c r="B79" t="inlineStr">
        <is>
          <t>Every figure is fabricated for demonstration. No real property is described.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5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38" customWidth="1" min="2" max="2"/>
    <col width="42" customWidth="1" min="3" max="3"/>
    <col width="12" customWidth="1" min="4" max="4"/>
    <col width="20" customWidth="1" min="5" max="5"/>
    <col width="12" customWidth="1" min="6" max="6"/>
    <col width="42" customWidth="1" min="7" max="7"/>
    <col width="13" customWidth="1" min="8" max="8"/>
    <col width="12" customWidth="1" min="9" max="9"/>
    <col width="20" customWidth="1" min="10" max="10"/>
    <col width="22" customWidth="1" min="11" max="11"/>
    <col width="11" customWidth="1" min="12" max="12"/>
    <col width="12" customWidth="1" min="13" max="13"/>
    <col width="19" customWidth="1" min="14" max="14"/>
  </cols>
  <sheetData>
    <row r="1">
      <c r="A1" s="1" t="inlineStr">
        <is>
          <t>Rent comps</t>
        </is>
      </c>
    </row>
    <row r="2">
      <c r="A2" s="2" t="inlineStr">
        <is>
          <t>Fixture Park — as of 2026-06-22</t>
        </is>
      </c>
    </row>
    <row r="3">
      <c r="A3" s="2" t="inlineStr">
        <is>
          <t>Source: the operator's own weekly rent scrape. Asking and net effective are stated separately on every row — a concession-blind comp set is the most common way a rent assumption goes wrong. No licensed comp feed is used.</t>
        </is>
      </c>
    </row>
    <row r="4">
      <c r="A4" s="3" t="n"/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Tier 1 — Top comps: the closest 5 communities matching the subject's product and vintage</t>
        </is>
      </c>
      <c r="B5" s="4" t="n"/>
      <c r="C5" s="4" t="n"/>
      <c r="D5" s="4" t="n"/>
      <c r="E5" s="4" t="n"/>
      <c r="F5" s="4" t="n"/>
    </row>
    <row r="6">
      <c r="A6" s="5" t="inlineStr">
        <is>
          <t>Vintage filter applied where year known: +/-10 years of the subject's year built. 1 of 11 communities shown carry no published year and were matched on distance and product only.</t>
        </is>
      </c>
    </row>
    <row r="7">
      <c r="A7" s="14" t="inlineStr">
        <is>
          <t>Community</t>
        </is>
      </c>
      <c r="B7" s="14" t="inlineStr">
        <is>
          <t>Distance (mi)</t>
        </is>
      </c>
      <c r="C7" s="14" t="inlineStr">
        <is>
          <t>Year built</t>
        </is>
      </c>
      <c r="D7" s="14" t="inlineStr">
        <is>
          <t>Floor plan</t>
        </is>
      </c>
      <c r="E7" s="14" t="inlineStr">
        <is>
          <t>Beds</t>
        </is>
      </c>
      <c r="F7" s="14" t="inlineStr">
        <is>
          <t>Baths</t>
        </is>
      </c>
      <c r="G7" s="14" t="inlineStr">
        <is>
          <t>SF</t>
        </is>
      </c>
      <c r="H7" s="14" t="inlineStr">
        <is>
          <t>Asking rent</t>
        </is>
      </c>
      <c r="I7" s="14" t="inlineStr">
        <is>
          <t>Concession</t>
        </is>
      </c>
      <c r="J7" s="14" t="inlineStr">
        <is>
          <t>Net effective rent</t>
        </is>
      </c>
      <c r="K7" s="14" t="inlineStr">
        <is>
          <t>Asking $/SF</t>
        </is>
      </c>
      <c r="L7" s="14" t="inlineStr">
        <is>
          <t>Occupancy</t>
        </is>
      </c>
      <c r="M7" s="14" t="inlineStr">
        <is>
          <t>As-of date</t>
        </is>
      </c>
      <c r="N7" s="14" t="inlineStr">
        <is>
          <t>Source</t>
        </is>
      </c>
    </row>
    <row r="8">
      <c r="A8" s="5" t="inlineStr">
        <is>
          <t>Alderwood Crossing</t>
        </is>
      </c>
      <c r="B8" s="10" t="n">
        <v>0.4</v>
      </c>
      <c r="C8" s="8" t="n">
        <v>2021</v>
      </c>
      <c r="D8" s="5" t="inlineStr">
        <is>
          <t>1BR-A</t>
        </is>
      </c>
      <c r="E8" s="15" t="n">
        <v>1</v>
      </c>
      <c r="F8" s="15" t="n">
        <v>1</v>
      </c>
      <c r="G8" s="7" t="n">
        <v>735</v>
      </c>
      <c r="H8" s="7" t="n">
        <v>1450</v>
      </c>
      <c r="I8" s="7" t="n">
        <v>45</v>
      </c>
      <c r="J8" s="7" t="n">
        <v>1405</v>
      </c>
      <c r="K8" s="16">
        <f>IFERROR(H8/G8,"")</f>
        <v/>
      </c>
      <c r="L8" s="11" t="n">
        <v>0.9399999999999999</v>
      </c>
      <c r="M8" s="17" t="n">
        <v>46195</v>
      </c>
      <c r="N8" s="5" t="inlineStr">
        <is>
          <t>own weekly scrape</t>
        </is>
      </c>
    </row>
    <row r="9">
      <c r="A9" s="5" t="inlineStr">
        <is>
          <t>Alderwood Crossing</t>
        </is>
      </c>
      <c r="B9" s="10" t="n">
        <v>0.4</v>
      </c>
      <c r="C9" s="8" t="n">
        <v>2021</v>
      </c>
      <c r="D9" s="5" t="inlineStr">
        <is>
          <t>2BR-B</t>
        </is>
      </c>
      <c r="E9" s="15" t="n">
        <v>2</v>
      </c>
      <c r="F9" s="15" t="n">
        <v>2</v>
      </c>
      <c r="G9" s="7" t="n">
        <v>1075</v>
      </c>
      <c r="H9" s="7" t="n">
        <v>1815</v>
      </c>
      <c r="I9" s="7" t="n">
        <v>45</v>
      </c>
      <c r="J9" s="7" t="n">
        <v>1770</v>
      </c>
      <c r="K9" s="16">
        <f>IFERROR(H9/G9,"")</f>
        <v/>
      </c>
      <c r="L9" s="11" t="n">
        <v>0.9399999999999999</v>
      </c>
      <c r="M9" s="17" t="n">
        <v>46195</v>
      </c>
      <c r="N9" s="5" t="inlineStr">
        <is>
          <t>own weekly scrape</t>
        </is>
      </c>
    </row>
    <row r="10">
      <c r="A10" s="5" t="inlineStr">
        <is>
          <t>Rowan Yard</t>
        </is>
      </c>
      <c r="B10" s="10" t="n">
        <v>0.6</v>
      </c>
      <c r="C10" s="12" t="n"/>
      <c r="D10" s="5" t="inlineStr">
        <is>
          <t>1BR-A</t>
        </is>
      </c>
      <c r="E10" s="15" t="n">
        <v>1</v>
      </c>
      <c r="F10" s="15" t="n">
        <v>1</v>
      </c>
      <c r="G10" s="7" t="n">
        <v>735</v>
      </c>
      <c r="H10" s="7" t="n">
        <v>1455</v>
      </c>
      <c r="I10" s="7" t="n">
        <v>0</v>
      </c>
      <c r="J10" s="7" t="n">
        <v>1455</v>
      </c>
      <c r="K10" s="16">
        <f>IFERROR(H10/G10,"")</f>
        <v/>
      </c>
      <c r="L10" s="11" t="n">
        <v>0.96</v>
      </c>
      <c r="M10" s="17" t="n">
        <v>46195</v>
      </c>
      <c r="N10" s="5" t="inlineStr">
        <is>
          <t>own weekly scrape</t>
        </is>
      </c>
    </row>
    <row r="11">
      <c r="A11" s="5" t="inlineStr">
        <is>
          <t>Rowan Yard</t>
        </is>
      </c>
      <c r="B11" s="10" t="n">
        <v>0.6</v>
      </c>
      <c r="C11" s="12" t="n"/>
      <c r="D11" s="5" t="inlineStr">
        <is>
          <t>2BR-B</t>
        </is>
      </c>
      <c r="E11" s="15" t="n">
        <v>2</v>
      </c>
      <c r="F11" s="15" t="n">
        <v>2</v>
      </c>
      <c r="G11" s="7" t="n">
        <v>1075</v>
      </c>
      <c r="H11" s="7" t="n">
        <v>1820</v>
      </c>
      <c r="I11" s="7" t="n">
        <v>0</v>
      </c>
      <c r="J11" s="7" t="n">
        <v>1820</v>
      </c>
      <c r="K11" s="16">
        <f>IFERROR(H11/G11,"")</f>
        <v/>
      </c>
      <c r="L11" s="11" t="n">
        <v>0.96</v>
      </c>
      <c r="M11" s="17" t="n">
        <v>46195</v>
      </c>
      <c r="N11" s="5" t="inlineStr">
        <is>
          <t>own weekly scrape</t>
        </is>
      </c>
    </row>
    <row r="12">
      <c r="A12" s="5" t="inlineStr">
        <is>
          <t>Sable Point</t>
        </is>
      </c>
      <c r="B12" s="10" t="n">
        <v>0.9</v>
      </c>
      <c r="C12" s="8" t="n">
        <v>2014</v>
      </c>
      <c r="D12" s="5" t="inlineStr">
        <is>
          <t>1BR-A</t>
        </is>
      </c>
      <c r="E12" s="15" t="n">
        <v>1</v>
      </c>
      <c r="F12" s="15" t="n">
        <v>1</v>
      </c>
      <c r="G12" s="7" t="n">
        <v>735</v>
      </c>
      <c r="H12" s="7" t="n">
        <v>1460</v>
      </c>
      <c r="I12" s="7" t="n">
        <v>45</v>
      </c>
      <c r="J12" s="7" t="n">
        <v>1415</v>
      </c>
      <c r="K12" s="16">
        <f>IFERROR(H12/G12,"")</f>
        <v/>
      </c>
      <c r="L12" s="11" t="n">
        <v>0.9399999999999999</v>
      </c>
      <c r="M12" s="17" t="n">
        <v>46195</v>
      </c>
      <c r="N12" s="5" t="inlineStr">
        <is>
          <t>own weekly scrape</t>
        </is>
      </c>
    </row>
    <row r="13">
      <c r="A13" s="5" t="inlineStr">
        <is>
          <t>Sable Point</t>
        </is>
      </c>
      <c r="B13" s="10" t="n">
        <v>0.9</v>
      </c>
      <c r="C13" s="8" t="n">
        <v>2014</v>
      </c>
      <c r="D13" s="5" t="inlineStr">
        <is>
          <t>2BR-B</t>
        </is>
      </c>
      <c r="E13" s="15" t="n">
        <v>2</v>
      </c>
      <c r="F13" s="15" t="n">
        <v>2</v>
      </c>
      <c r="G13" s="7" t="n">
        <v>1075</v>
      </c>
      <c r="H13" s="7" t="n">
        <v>1825</v>
      </c>
      <c r="I13" s="7" t="n">
        <v>45</v>
      </c>
      <c r="J13" s="7" t="n">
        <v>1780</v>
      </c>
      <c r="K13" s="16">
        <f>IFERROR(H13/G13,"")</f>
        <v/>
      </c>
      <c r="L13" s="11" t="n">
        <v>0.9399999999999999</v>
      </c>
      <c r="M13" s="17" t="n">
        <v>46195</v>
      </c>
      <c r="N13" s="5" t="inlineStr">
        <is>
          <t>own weekly scrape</t>
        </is>
      </c>
    </row>
    <row r="14">
      <c r="A14" s="5" t="inlineStr">
        <is>
          <t>Sable Point</t>
        </is>
      </c>
      <c r="B14" s="10" t="n">
        <v>0.9</v>
      </c>
      <c r="C14" s="8" t="n">
        <v>2014</v>
      </c>
      <c r="D14" s="5" t="inlineStr">
        <is>
          <t>3BR-C</t>
        </is>
      </c>
      <c r="E14" s="15" t="n">
        <v>3</v>
      </c>
      <c r="F14" s="15" t="n">
        <v>2.5</v>
      </c>
      <c r="G14" s="7" t="n">
        <v>1355</v>
      </c>
      <c r="H14" s="7" t="n">
        <v>2180</v>
      </c>
      <c r="I14" s="7" t="n">
        <v>45</v>
      </c>
      <c r="J14" s="7" t="n">
        <v>2135</v>
      </c>
      <c r="K14" s="16">
        <f>IFERROR(H14/G14,"")</f>
        <v/>
      </c>
      <c r="L14" s="11" t="n">
        <v>0.9399999999999999</v>
      </c>
      <c r="M14" s="17" t="n">
        <v>46195</v>
      </c>
      <c r="N14" s="5" t="inlineStr">
        <is>
          <t>own weekly scrape</t>
        </is>
      </c>
    </row>
    <row r="15">
      <c r="A15" s="5" t="inlineStr">
        <is>
          <t>Harper Station</t>
        </is>
      </c>
      <c r="B15" s="10" t="n">
        <v>1.1</v>
      </c>
      <c r="C15" s="8" t="n">
        <v>2026</v>
      </c>
      <c r="D15" s="5" t="inlineStr">
        <is>
          <t>1BR-A</t>
        </is>
      </c>
      <c r="E15" s="15" t="n">
        <v>1</v>
      </c>
      <c r="F15" s="15" t="n">
        <v>1</v>
      </c>
      <c r="G15" s="7" t="n">
        <v>735</v>
      </c>
      <c r="H15" s="7" t="n">
        <v>1465</v>
      </c>
      <c r="I15" s="7" t="n">
        <v>0</v>
      </c>
      <c r="J15" s="7" t="n">
        <v>1465</v>
      </c>
      <c r="K15" s="16">
        <f>IFERROR(H15/G15,"")</f>
        <v/>
      </c>
      <c r="L15" s="11" t="n">
        <v>0.96</v>
      </c>
      <c r="M15" s="17" t="n">
        <v>46195</v>
      </c>
      <c r="N15" s="5" t="inlineStr">
        <is>
          <t>own weekly scrape</t>
        </is>
      </c>
    </row>
    <row r="16">
      <c r="A16" s="5" t="inlineStr">
        <is>
          <t>Harper Station</t>
        </is>
      </c>
      <c r="B16" s="10" t="n">
        <v>1.1</v>
      </c>
      <c r="C16" s="8" t="n">
        <v>2026</v>
      </c>
      <c r="D16" s="5" t="inlineStr">
        <is>
          <t>2BR-B</t>
        </is>
      </c>
      <c r="E16" s="15" t="n">
        <v>2</v>
      </c>
      <c r="F16" s="15" t="n">
        <v>2</v>
      </c>
      <c r="G16" s="7" t="n">
        <v>1075</v>
      </c>
      <c r="H16" s="7" t="n">
        <v>1830</v>
      </c>
      <c r="I16" s="7" t="n">
        <v>0</v>
      </c>
      <c r="J16" s="7" t="n">
        <v>1830</v>
      </c>
      <c r="K16" s="16">
        <f>IFERROR(H16/G16,"")</f>
        <v/>
      </c>
      <c r="L16" s="11" t="n">
        <v>0.96</v>
      </c>
      <c r="M16" s="17" t="n">
        <v>46195</v>
      </c>
      <c r="N16" s="5" t="inlineStr">
        <is>
          <t>own weekly scrape</t>
        </is>
      </c>
    </row>
    <row r="17">
      <c r="A17" s="5" t="inlineStr">
        <is>
          <t>Kestrel Ridge</t>
        </is>
      </c>
      <c r="B17" s="10" t="n">
        <v>1.3</v>
      </c>
      <c r="C17" s="8" t="n">
        <v>2019</v>
      </c>
      <c r="D17" s="5" t="inlineStr">
        <is>
          <t>1BR-A</t>
        </is>
      </c>
      <c r="E17" s="15" t="n">
        <v>1</v>
      </c>
      <c r="F17" s="15" t="n">
        <v>1</v>
      </c>
      <c r="G17" s="7" t="n">
        <v>735</v>
      </c>
      <c r="H17" s="7" t="n">
        <v>1470</v>
      </c>
      <c r="I17" s="7" t="n">
        <v>45</v>
      </c>
      <c r="J17" s="7" t="n">
        <v>1425</v>
      </c>
      <c r="K17" s="16">
        <f>IFERROR(H17/G17,"")</f>
        <v/>
      </c>
      <c r="L17" s="11" t="n">
        <v>0.9399999999999999</v>
      </c>
      <c r="M17" s="17" t="n">
        <v>46195</v>
      </c>
      <c r="N17" s="5" t="inlineStr">
        <is>
          <t>own weekly scrape</t>
        </is>
      </c>
    </row>
    <row r="18">
      <c r="A18" s="5" t="inlineStr">
        <is>
          <t>Kestrel Ridge</t>
        </is>
      </c>
      <c r="B18" s="10" t="n">
        <v>1.3</v>
      </c>
      <c r="C18" s="8" t="n">
        <v>2019</v>
      </c>
      <c r="D18" s="5" t="inlineStr">
        <is>
          <t>2BR-B</t>
        </is>
      </c>
      <c r="E18" s="15" t="n">
        <v>2</v>
      </c>
      <c r="F18" s="15" t="n">
        <v>2</v>
      </c>
      <c r="G18" s="7" t="n">
        <v>1075</v>
      </c>
      <c r="H18" s="7" t="n">
        <v>1835</v>
      </c>
      <c r="I18" s="7" t="n">
        <v>45</v>
      </c>
      <c r="J18" s="7" t="n">
        <v>1790</v>
      </c>
      <c r="K18" s="16">
        <f>IFERROR(H18/G18,"")</f>
        <v/>
      </c>
      <c r="L18" s="11" t="n">
        <v>0.9399999999999999</v>
      </c>
      <c r="M18" s="17" t="n">
        <v>46195</v>
      </c>
      <c r="N18" s="5" t="inlineStr">
        <is>
          <t>own weekly scrape</t>
        </is>
      </c>
    </row>
    <row r="19"/>
    <row r="20">
      <c r="A20" s="4" t="inlineStr">
        <is>
          <t>Tier 2 — Additional comps: the next 6 communities matching the subject's product and vintage</t>
        </is>
      </c>
      <c r="B20" s="4" t="n"/>
      <c r="C20" s="4" t="n"/>
      <c r="D20" s="4" t="n"/>
      <c r="E20" s="4" t="n"/>
      <c r="F20" s="4" t="n"/>
    </row>
    <row r="21">
      <c r="A21" s="14" t="inlineStr">
        <is>
          <t>Community</t>
        </is>
      </c>
      <c r="B21" s="14" t="inlineStr">
        <is>
          <t>Distance (mi)</t>
        </is>
      </c>
      <c r="C21" s="14" t="inlineStr">
        <is>
          <t>Year built</t>
        </is>
      </c>
      <c r="D21" s="14" t="inlineStr">
        <is>
          <t>Floor plan</t>
        </is>
      </c>
      <c r="E21" s="14" t="inlineStr">
        <is>
          <t>Beds</t>
        </is>
      </c>
      <c r="F21" s="14" t="inlineStr">
        <is>
          <t>Baths</t>
        </is>
      </c>
      <c r="G21" s="14" t="inlineStr">
        <is>
          <t>SF</t>
        </is>
      </c>
      <c r="H21" s="14" t="inlineStr">
        <is>
          <t>Asking rent</t>
        </is>
      </c>
      <c r="I21" s="14" t="inlineStr">
        <is>
          <t>Concession</t>
        </is>
      </c>
      <c r="J21" s="14" t="inlineStr">
        <is>
          <t>Net effective rent</t>
        </is>
      </c>
      <c r="K21" s="14" t="inlineStr">
        <is>
          <t>Asking $/SF</t>
        </is>
      </c>
      <c r="L21" s="14" t="inlineStr">
        <is>
          <t>Occupancy</t>
        </is>
      </c>
      <c r="M21" s="14" t="inlineStr">
        <is>
          <t>As-of date</t>
        </is>
      </c>
      <c r="N21" s="14" t="inlineStr">
        <is>
          <t>Source</t>
        </is>
      </c>
    </row>
    <row r="22">
      <c r="A22" s="5" t="inlineStr">
        <is>
          <t>Linden Mill</t>
        </is>
      </c>
      <c r="B22" s="10" t="n">
        <v>1.5</v>
      </c>
      <c r="C22" s="8" t="n">
        <v>2011</v>
      </c>
      <c r="D22" s="5" t="inlineStr">
        <is>
          <t>1BR-A</t>
        </is>
      </c>
      <c r="E22" s="15" t="n">
        <v>1</v>
      </c>
      <c r="F22" s="15" t="n">
        <v>1</v>
      </c>
      <c r="G22" s="7" t="n">
        <v>735</v>
      </c>
      <c r="H22" s="7" t="n">
        <v>1475</v>
      </c>
      <c r="I22" s="7" t="n">
        <v>0</v>
      </c>
      <c r="J22" s="7" t="n">
        <v>1475</v>
      </c>
      <c r="K22" s="16">
        <f>IFERROR(H22/G22,"")</f>
        <v/>
      </c>
      <c r="L22" s="11" t="n">
        <v>0.96</v>
      </c>
      <c r="M22" s="17" t="n">
        <v>46195</v>
      </c>
      <c r="N22" s="5" t="inlineStr">
        <is>
          <t>own weekly scrape</t>
        </is>
      </c>
    </row>
    <row r="23">
      <c r="A23" s="5" t="inlineStr">
        <is>
          <t>Linden Mill</t>
        </is>
      </c>
      <c r="B23" s="10" t="n">
        <v>1.5</v>
      </c>
      <c r="C23" s="8" t="n">
        <v>2011</v>
      </c>
      <c r="D23" s="5" t="inlineStr">
        <is>
          <t>2BR-B</t>
        </is>
      </c>
      <c r="E23" s="15" t="n">
        <v>2</v>
      </c>
      <c r="F23" s="15" t="n">
        <v>2</v>
      </c>
      <c r="G23" s="7" t="n">
        <v>1075</v>
      </c>
      <c r="H23" s="7" t="n">
        <v>1840</v>
      </c>
      <c r="I23" s="7" t="n">
        <v>0</v>
      </c>
      <c r="J23" s="7" t="n">
        <v>1840</v>
      </c>
      <c r="K23" s="16">
        <f>IFERROR(H23/G23,"")</f>
        <v/>
      </c>
      <c r="L23" s="11" t="n">
        <v>0.96</v>
      </c>
      <c r="M23" s="17" t="n">
        <v>46195</v>
      </c>
      <c r="N23" s="5" t="inlineStr">
        <is>
          <t>own weekly scrape</t>
        </is>
      </c>
    </row>
    <row r="24">
      <c r="A24" s="5" t="inlineStr">
        <is>
          <t>Linden Mill</t>
        </is>
      </c>
      <c r="B24" s="10" t="n">
        <v>1.5</v>
      </c>
      <c r="C24" s="8" t="n">
        <v>2011</v>
      </c>
      <c r="D24" s="5" t="inlineStr">
        <is>
          <t>3BR-C</t>
        </is>
      </c>
      <c r="E24" s="15" t="n">
        <v>3</v>
      </c>
      <c r="F24" s="15" t="n">
        <v>2.5</v>
      </c>
      <c r="G24" s="7" t="n">
        <v>1355</v>
      </c>
      <c r="H24" s="7" t="n">
        <v>2195</v>
      </c>
      <c r="I24" s="7" t="n">
        <v>0</v>
      </c>
      <c r="J24" s="7" t="n">
        <v>2195</v>
      </c>
      <c r="K24" s="16">
        <f>IFERROR(H24/G24,"")</f>
        <v/>
      </c>
      <c r="L24" s="11" t="n">
        <v>0.96</v>
      </c>
      <c r="M24" s="17" t="n">
        <v>46195</v>
      </c>
      <c r="N24" s="5" t="inlineStr">
        <is>
          <t>own weekly scrape</t>
        </is>
      </c>
    </row>
    <row r="25">
      <c r="A25" s="5" t="inlineStr">
        <is>
          <t>Pinegate Commons</t>
        </is>
      </c>
      <c r="B25" s="10" t="n">
        <v>1.6</v>
      </c>
      <c r="C25" s="8" t="n">
        <v>2009</v>
      </c>
      <c r="D25" s="5" t="inlineStr">
        <is>
          <t>1BR-A</t>
        </is>
      </c>
      <c r="E25" s="15" t="n">
        <v>1</v>
      </c>
      <c r="F25" s="15" t="n">
        <v>1</v>
      </c>
      <c r="G25" s="7" t="n">
        <v>735</v>
      </c>
      <c r="H25" s="7" t="n">
        <v>1480</v>
      </c>
      <c r="I25" s="7" t="n">
        <v>45</v>
      </c>
      <c r="J25" s="7" t="n">
        <v>1435</v>
      </c>
      <c r="K25" s="16">
        <f>IFERROR(H25/G25,"")</f>
        <v/>
      </c>
      <c r="L25" s="11" t="n">
        <v>0.9399999999999999</v>
      </c>
      <c r="M25" s="17" t="n">
        <v>46195</v>
      </c>
      <c r="N25" s="5" t="inlineStr">
        <is>
          <t>own weekly scrape</t>
        </is>
      </c>
    </row>
    <row r="26">
      <c r="A26" s="5" t="inlineStr">
        <is>
          <t>Pinegate Commons</t>
        </is>
      </c>
      <c r="B26" s="10" t="n">
        <v>1.6</v>
      </c>
      <c r="C26" s="8" t="n">
        <v>2009</v>
      </c>
      <c r="D26" s="5" t="inlineStr">
        <is>
          <t>2BR-B</t>
        </is>
      </c>
      <c r="E26" s="15" t="n">
        <v>2</v>
      </c>
      <c r="F26" s="15" t="n">
        <v>2</v>
      </c>
      <c r="G26" s="7" t="n">
        <v>1075</v>
      </c>
      <c r="H26" s="7" t="n">
        <v>1845</v>
      </c>
      <c r="I26" s="7" t="n">
        <v>45</v>
      </c>
      <c r="J26" s="7" t="n">
        <v>1800</v>
      </c>
      <c r="K26" s="16">
        <f>IFERROR(H26/G26,"")</f>
        <v/>
      </c>
      <c r="L26" s="11" t="n">
        <v>0.9399999999999999</v>
      </c>
      <c r="M26" s="17" t="n">
        <v>46195</v>
      </c>
      <c r="N26" s="5" t="inlineStr">
        <is>
          <t>own weekly scrape</t>
        </is>
      </c>
    </row>
    <row r="27">
      <c r="A27" s="5" t="inlineStr">
        <is>
          <t>Quarry Flats</t>
        </is>
      </c>
      <c r="B27" s="10" t="n">
        <v>1.8</v>
      </c>
      <c r="C27" s="8" t="n">
        <v>2029</v>
      </c>
      <c r="D27" s="5" t="inlineStr">
        <is>
          <t>1BR-A</t>
        </is>
      </c>
      <c r="E27" s="15" t="n">
        <v>1</v>
      </c>
      <c r="F27" s="15" t="n">
        <v>1</v>
      </c>
      <c r="G27" s="7" t="n">
        <v>735</v>
      </c>
      <c r="H27" s="7" t="n">
        <v>1485</v>
      </c>
      <c r="I27" s="7" t="n">
        <v>0</v>
      </c>
      <c r="J27" s="7" t="n">
        <v>1485</v>
      </c>
      <c r="K27" s="16">
        <f>IFERROR(H27/G27,"")</f>
        <v/>
      </c>
      <c r="L27" s="11" t="n">
        <v>0.96</v>
      </c>
      <c r="M27" s="17" t="n">
        <v>46195</v>
      </c>
      <c r="N27" s="5" t="inlineStr">
        <is>
          <t>own weekly scrape</t>
        </is>
      </c>
    </row>
    <row r="28">
      <c r="A28" s="5" t="inlineStr">
        <is>
          <t>Quarry Flats</t>
        </is>
      </c>
      <c r="B28" s="10" t="n">
        <v>1.8</v>
      </c>
      <c r="C28" s="8" t="n">
        <v>2029</v>
      </c>
      <c r="D28" s="5" t="inlineStr">
        <is>
          <t>2BR-B</t>
        </is>
      </c>
      <c r="E28" s="15" t="n">
        <v>2</v>
      </c>
      <c r="F28" s="15" t="n">
        <v>2</v>
      </c>
      <c r="G28" s="7" t="n">
        <v>1075</v>
      </c>
      <c r="H28" s="7" t="n">
        <v>1850</v>
      </c>
      <c r="I28" s="7" t="n">
        <v>0</v>
      </c>
      <c r="J28" s="7" t="n">
        <v>1850</v>
      </c>
      <c r="K28" s="16">
        <f>IFERROR(H28/G28,"")</f>
        <v/>
      </c>
      <c r="L28" s="11" t="n">
        <v>0.96</v>
      </c>
      <c r="M28" s="17" t="n">
        <v>46195</v>
      </c>
      <c r="N28" s="5" t="inlineStr">
        <is>
          <t>own weekly scrape</t>
        </is>
      </c>
    </row>
    <row r="29">
      <c r="A29" s="5" t="inlineStr">
        <is>
          <t>Marrow Bend</t>
        </is>
      </c>
      <c r="B29" s="10" t="n">
        <v>2</v>
      </c>
      <c r="C29" s="8" t="n">
        <v>2028</v>
      </c>
      <c r="D29" s="5" t="inlineStr">
        <is>
          <t>1BR-A</t>
        </is>
      </c>
      <c r="E29" s="15" t="n">
        <v>1</v>
      </c>
      <c r="F29" s="15" t="n">
        <v>1</v>
      </c>
      <c r="G29" s="7" t="n">
        <v>735</v>
      </c>
      <c r="H29" s="7" t="n">
        <v>1490</v>
      </c>
      <c r="I29" s="7" t="n">
        <v>45</v>
      </c>
      <c r="J29" s="7" t="n">
        <v>1445</v>
      </c>
      <c r="K29" s="16">
        <f>IFERROR(H29/G29,"")</f>
        <v/>
      </c>
      <c r="L29" s="11" t="n">
        <v>0.9399999999999999</v>
      </c>
      <c r="M29" s="17" t="n">
        <v>46195</v>
      </c>
      <c r="N29" s="5" t="inlineStr">
        <is>
          <t>own weekly scrape</t>
        </is>
      </c>
    </row>
    <row r="30">
      <c r="A30" s="5" t="inlineStr">
        <is>
          <t>Marrow Bend</t>
        </is>
      </c>
      <c r="B30" s="10" t="n">
        <v>2</v>
      </c>
      <c r="C30" s="8" t="n">
        <v>2028</v>
      </c>
      <c r="D30" s="5" t="inlineStr">
        <is>
          <t>2BR-B</t>
        </is>
      </c>
      <c r="E30" s="15" t="n">
        <v>2</v>
      </c>
      <c r="F30" s="15" t="n">
        <v>2</v>
      </c>
      <c r="G30" s="7" t="n">
        <v>1075</v>
      </c>
      <c r="H30" s="7" t="n">
        <v>1855</v>
      </c>
      <c r="I30" s="7" t="n">
        <v>45</v>
      </c>
      <c r="J30" s="7" t="n">
        <v>1810</v>
      </c>
      <c r="K30" s="16">
        <f>IFERROR(H30/G30,"")</f>
        <v/>
      </c>
      <c r="L30" s="11" t="n">
        <v>0.9399999999999999</v>
      </c>
      <c r="M30" s="17" t="n">
        <v>46195</v>
      </c>
      <c r="N30" s="5" t="inlineStr">
        <is>
          <t>own weekly scrape</t>
        </is>
      </c>
    </row>
    <row r="31">
      <c r="A31" s="5" t="inlineStr">
        <is>
          <t>Marrow Bend</t>
        </is>
      </c>
      <c r="B31" s="10" t="n">
        <v>2</v>
      </c>
      <c r="C31" s="8" t="n">
        <v>2028</v>
      </c>
      <c r="D31" s="5" t="inlineStr">
        <is>
          <t>3BR-C</t>
        </is>
      </c>
      <c r="E31" s="15" t="n">
        <v>3</v>
      </c>
      <c r="F31" s="15" t="n">
        <v>2.5</v>
      </c>
      <c r="G31" s="7" t="n">
        <v>1355</v>
      </c>
      <c r="H31" s="7" t="n">
        <v>2210</v>
      </c>
      <c r="I31" s="7" t="n">
        <v>45</v>
      </c>
      <c r="J31" s="7" t="n">
        <v>2165</v>
      </c>
      <c r="K31" s="16">
        <f>IFERROR(H31/G31,"")</f>
        <v/>
      </c>
      <c r="L31" s="11" t="n">
        <v>0.9399999999999999</v>
      </c>
      <c r="M31" s="17" t="n">
        <v>46195</v>
      </c>
      <c r="N31" s="5" t="inlineStr">
        <is>
          <t>own weekly scrape</t>
        </is>
      </c>
    </row>
    <row r="32">
      <c r="A32" s="5" t="inlineStr">
        <is>
          <t>Nyland Court</t>
        </is>
      </c>
      <c r="B32" s="10" t="n">
        <v>2.2</v>
      </c>
      <c r="C32" s="8" t="n">
        <v>2016</v>
      </c>
      <c r="D32" s="5" t="inlineStr">
        <is>
          <t>1BR-A</t>
        </is>
      </c>
      <c r="E32" s="15" t="n">
        <v>1</v>
      </c>
      <c r="F32" s="15" t="n">
        <v>1</v>
      </c>
      <c r="G32" s="7" t="n">
        <v>735</v>
      </c>
      <c r="H32" s="7" t="n">
        <v>1495</v>
      </c>
      <c r="I32" s="7" t="n">
        <v>0</v>
      </c>
      <c r="J32" s="7" t="n">
        <v>1495</v>
      </c>
      <c r="K32" s="16">
        <f>IFERROR(H32/G32,"")</f>
        <v/>
      </c>
      <c r="L32" s="11" t="n">
        <v>0.96</v>
      </c>
      <c r="M32" s="17" t="n">
        <v>46195</v>
      </c>
      <c r="N32" s="5" t="inlineStr">
        <is>
          <t>own weekly scrape</t>
        </is>
      </c>
    </row>
    <row r="33">
      <c r="A33" s="5" t="inlineStr">
        <is>
          <t>Nyland Court</t>
        </is>
      </c>
      <c r="B33" s="10" t="n">
        <v>2.2</v>
      </c>
      <c r="C33" s="8" t="n">
        <v>2016</v>
      </c>
      <c r="D33" s="5" t="inlineStr">
        <is>
          <t>2BR-B</t>
        </is>
      </c>
      <c r="E33" s="15" t="n">
        <v>2</v>
      </c>
      <c r="F33" s="15" t="n">
        <v>2</v>
      </c>
      <c r="G33" s="7" t="n">
        <v>1075</v>
      </c>
      <c r="H33" s="7" t="n">
        <v>1860</v>
      </c>
      <c r="I33" s="7" t="n">
        <v>0</v>
      </c>
      <c r="J33" s="7" t="n">
        <v>1860</v>
      </c>
      <c r="K33" s="16">
        <f>IFERROR(H33/G33,"")</f>
        <v/>
      </c>
      <c r="L33" s="11" t="n">
        <v>0.96</v>
      </c>
      <c r="M33" s="17" t="n">
        <v>46195</v>
      </c>
      <c r="N33" s="5" t="inlineStr">
        <is>
          <t>own weekly scrape</t>
        </is>
      </c>
    </row>
    <row r="34">
      <c r="A34" s="5" t="inlineStr">
        <is>
          <t>Orchard Vale</t>
        </is>
      </c>
      <c r="B34" s="10" t="n">
        <v>2.4</v>
      </c>
      <c r="C34" s="8" t="n">
        <v>2023</v>
      </c>
      <c r="D34" s="5" t="inlineStr">
        <is>
          <t>1BR-A</t>
        </is>
      </c>
      <c r="E34" s="15" t="n">
        <v>1</v>
      </c>
      <c r="F34" s="15" t="n">
        <v>1</v>
      </c>
      <c r="G34" s="7" t="n">
        <v>735</v>
      </c>
      <c r="H34" s="7" t="n">
        <v>1500</v>
      </c>
      <c r="I34" s="7" t="n">
        <v>45</v>
      </c>
      <c r="J34" s="7" t="n">
        <v>1455</v>
      </c>
      <c r="K34" s="16">
        <f>IFERROR(H34/G34,"")</f>
        <v/>
      </c>
      <c r="L34" s="11" t="n">
        <v>0.9399999999999999</v>
      </c>
      <c r="M34" s="17" t="n">
        <v>46195</v>
      </c>
      <c r="N34" s="5" t="inlineStr">
        <is>
          <t>own weekly scrape</t>
        </is>
      </c>
    </row>
    <row r="35">
      <c r="A35" s="5" t="inlineStr">
        <is>
          <t>Orchard Vale</t>
        </is>
      </c>
      <c r="B35" s="10" t="n">
        <v>2.4</v>
      </c>
      <c r="C35" s="8" t="n">
        <v>2023</v>
      </c>
      <c r="D35" s="5" t="inlineStr">
        <is>
          <t>2BR-B</t>
        </is>
      </c>
      <c r="E35" s="15" t="n">
        <v>2</v>
      </c>
      <c r="F35" s="15" t="n">
        <v>2</v>
      </c>
      <c r="G35" s="7" t="n">
        <v>1075</v>
      </c>
      <c r="H35" s="7" t="n">
        <v>1865</v>
      </c>
      <c r="I35" s="7" t="n">
        <v>45</v>
      </c>
      <c r="J35" s="7" t="n">
        <v>1820</v>
      </c>
      <c r="K35" s="16">
        <f>IFERROR(H35/G35,"")</f>
        <v/>
      </c>
      <c r="L35" s="11" t="n">
        <v>0.9399999999999999</v>
      </c>
      <c r="M35" s="17" t="n">
        <v>46195</v>
      </c>
      <c r="N35" s="5" t="inlineStr">
        <is>
          <t>own weekly scrape</t>
        </is>
      </c>
    </row>
    <row r="36"/>
    <row r="37">
      <c r="A37" s="4" t="inlineStr">
        <is>
          <t>Tier 3 — Also nearby: 4 tracked communities inside the radius that are not comps, and why</t>
        </is>
      </c>
      <c r="B37" s="4" t="n"/>
      <c r="C37" s="4" t="n"/>
      <c r="D37" s="4" t="n"/>
      <c r="E37" s="4" t="n"/>
      <c r="F37" s="4" t="n"/>
    </row>
    <row r="38">
      <c r="A38" s="5" t="inlineStr">
        <is>
          <t>Identity only, by design. No rent is shown for these — a rent on a row that did not pass the comp criteria reads as a comp.</t>
        </is>
      </c>
    </row>
    <row r="39">
      <c r="A39" s="14" t="inlineStr">
        <is>
          <t>Community</t>
        </is>
      </c>
      <c r="B39" s="14" t="inlineStr">
        <is>
          <t>Address</t>
        </is>
      </c>
      <c r="C39" s="14" t="inlineStr">
        <is>
          <t>Distance (mi)</t>
        </is>
      </c>
      <c r="D39" s="14" t="inlineStr">
        <is>
          <t>Units</t>
        </is>
      </c>
      <c r="E39" s="14" t="inlineStr">
        <is>
          <t>Product</t>
        </is>
      </c>
      <c r="F39" s="14" t="inlineStr">
        <is>
          <t>Year built</t>
        </is>
      </c>
      <c r="G39" s="14" t="inlineStr">
        <is>
          <t>Not a comp because</t>
        </is>
      </c>
    </row>
    <row r="40">
      <c r="A40" s="5" t="inlineStr">
        <is>
          <t>Rushmere Townhomes</t>
        </is>
      </c>
      <c r="B40" s="5" t="inlineStr">
        <is>
          <t>375 Sample Street, Demo City</t>
        </is>
      </c>
      <c r="C40" s="10" t="n">
        <v>0.5</v>
      </c>
      <c r="D40" s="7" t="n">
        <v>96</v>
      </c>
      <c r="E40" s="5" t="inlineStr">
        <is>
          <t>bfr</t>
        </is>
      </c>
      <c r="F40" s="8" t="n">
        <v>2022</v>
      </c>
      <c r="G40" s="5" t="inlineStr">
        <is>
          <t>different product: tracked as bfr, subject is MF</t>
        </is>
      </c>
    </row>
    <row r="41">
      <c r="A41" s="5" t="inlineStr">
        <is>
          <t>Stonecrest Lofts</t>
        </is>
      </c>
      <c r="B41" s="5" t="inlineStr">
        <is>
          <t>400 Sample Street, Demo City</t>
        </is>
      </c>
      <c r="C41" s="10" t="n">
        <v>0.8</v>
      </c>
      <c r="D41" s="7" t="n">
        <v>132</v>
      </c>
      <c r="E41" s="5" t="inlineStr">
        <is>
          <t>mf</t>
        </is>
      </c>
      <c r="F41" s="8" t="n">
        <v>1998</v>
      </c>
      <c r="G41" s="5" t="inlineStr">
        <is>
          <t>vintage 1998 is 21 years from the subject's 2019, outside the +/-10-year band</t>
        </is>
      </c>
    </row>
    <row r="42">
      <c r="A42" s="5" t="inlineStr">
        <is>
          <t>Tallow Creek</t>
        </is>
      </c>
      <c r="B42" s="5" t="inlineStr">
        <is>
          <t>425 Sample Street, Demo City</t>
        </is>
      </c>
      <c r="C42" s="10" t="n">
        <v>1</v>
      </c>
      <c r="D42" s="7" t="n">
        <v>144</v>
      </c>
      <c r="E42" s="5" t="inlineStr">
        <is>
          <t>mf</t>
        </is>
      </c>
      <c r="F42" s="8" t="n">
        <v>2018</v>
      </c>
      <c r="G42" s="5" t="inlineStr">
        <is>
          <t>no quoted rent in the latest scrape of this community</t>
        </is>
      </c>
    </row>
    <row r="43">
      <c r="A43" s="5" t="inlineStr">
        <is>
          <t>Underhill Residences</t>
        </is>
      </c>
      <c r="B43" s="5" t="inlineStr">
        <is>
          <t>450 Sample Street, Demo City</t>
        </is>
      </c>
      <c r="C43" s="10" t="n">
        <v>1.2</v>
      </c>
      <c r="D43" s="7" t="n">
        <v>88</v>
      </c>
      <c r="E43" s="5" t="inlineStr">
        <is>
          <t>mf</t>
        </is>
      </c>
      <c r="F43" s="8" t="n">
        <v>2020</v>
      </c>
      <c r="G43" s="5" t="inlineStr">
        <is>
          <t>excluded from comp sets by the tracker: income_restricted</t>
        </is>
      </c>
    </row>
    <row r="44"/>
    <row r="45">
      <c r="A45" s="4" t="inlineStr">
        <is>
          <t>By bed count — like for like</t>
        </is>
      </c>
      <c r="B45" s="4" t="n"/>
      <c r="C45" s="4" t="n"/>
      <c r="D45" s="4" t="n"/>
      <c r="E45" s="4" t="n"/>
    </row>
    <row r="46">
      <c r="A46" s="14" t="inlineStr">
        <is>
          <t>Beds</t>
        </is>
      </c>
      <c r="B46" s="14" t="inlineStr">
        <is>
          <t>Communities</t>
        </is>
      </c>
      <c r="C46" s="14" t="inlineStr">
        <is>
          <t>Plans</t>
        </is>
      </c>
      <c r="D46" s="14" t="inlineStr">
        <is>
          <t>Avg asking</t>
        </is>
      </c>
      <c r="E46" s="14" t="inlineStr">
        <is>
          <t>Avg net effective</t>
        </is>
      </c>
    </row>
    <row r="47">
      <c r="A47" s="5" t="inlineStr">
        <is>
          <t>1 bed</t>
        </is>
      </c>
      <c r="B47" s="7" t="n">
        <v>11</v>
      </c>
      <c r="C47" s="7" t="n">
        <v>11</v>
      </c>
      <c r="D47" s="7" t="n">
        <v>1475</v>
      </c>
      <c r="E47" s="7" t="n">
        <v>1450.454545454545</v>
      </c>
    </row>
    <row r="48">
      <c r="A48" s="5" t="inlineStr">
        <is>
          <t>2 bed</t>
        </is>
      </c>
      <c r="B48" s="7" t="n">
        <v>11</v>
      </c>
      <c r="C48" s="7" t="n">
        <v>11</v>
      </c>
      <c r="D48" s="7" t="n">
        <v>1840</v>
      </c>
      <c r="E48" s="7" t="n">
        <v>1815.454545454545</v>
      </c>
    </row>
    <row r="49">
      <c r="A49" s="5" t="inlineStr">
        <is>
          <t>3 bed</t>
        </is>
      </c>
      <c r="B49" s="7" t="n">
        <v>3</v>
      </c>
      <c r="C49" s="7" t="n">
        <v>3</v>
      </c>
      <c r="D49" s="7" t="n">
        <v>2195</v>
      </c>
      <c r="E49" s="7" t="n">
        <v>2165</v>
      </c>
    </row>
    <row r="50"/>
    <row r="51">
      <c r="A51" s="4" t="inlineStr">
        <is>
          <t>Subject versus comp set — detailed tiers only</t>
        </is>
      </c>
      <c r="B51" s="4" t="n"/>
      <c r="C51" s="4" t="n"/>
      <c r="D51" s="4" t="n"/>
    </row>
    <row r="52">
      <c r="A52" s="5" t="inlineStr">
        <is>
          <t>Subject market rent</t>
        </is>
      </c>
      <c r="B52" s="7" t="n">
        <v>1834.78</v>
      </c>
      <c r="C52" s="6" t="inlineStr">
        <is>
          <t>Unit-weighted market rent for model, whole property.</t>
        </is>
      </c>
    </row>
    <row r="53">
      <c r="A53" s="5" t="inlineStr">
        <is>
          <t>Comp-set average asking</t>
        </is>
      </c>
      <c r="B53" s="7">
        <f>IFERROR(AVERAGE(H8:H18,H22:H35),"")</f>
        <v/>
      </c>
      <c r="C53" s="6" t="inlineStr">
        <is>
          <t>Over 11 communities in the detailed tiers (top 5 plus next 15) — never the whole radius.</t>
        </is>
      </c>
    </row>
    <row r="54">
      <c r="A54" s="5" t="inlineStr">
        <is>
          <t>Comp-set average net effective</t>
        </is>
      </c>
      <c r="B54" s="7">
        <f>IFERROR(AVERAGE(J8:J18,J22:J35),"")</f>
        <v/>
      </c>
    </row>
    <row r="55">
      <c r="A55" s="5" t="inlineStr">
        <is>
          <t>Comp set, mix-matched</t>
        </is>
      </c>
      <c r="B55" s="7" t="n">
        <v>1767.409090909091</v>
      </c>
      <c r="C55" s="6" t="inlineStr">
        <is>
          <t>Each bed count's comp net-effective weighted by the subject's own unit mix, so both sides describe the same product.</t>
        </is>
      </c>
    </row>
    <row r="56">
      <c r="A56" s="5" t="inlineStr">
        <is>
          <t>Subject rent, same bed counts</t>
        </is>
      </c>
      <c r="B56" s="7" t="n">
        <v>1834.777777777778</v>
      </c>
      <c r="C56" s="6" t="inlineStr">
        <is>
          <t>Restricted to the bed counts the comp set covers: [1, 2, 3].</t>
        </is>
      </c>
    </row>
    <row r="57">
      <c r="A57" s="5" t="inlineStr">
        <is>
          <t>Mix coverage</t>
        </is>
      </c>
      <c r="B57" s="11" t="n">
        <v>1</v>
      </c>
      <c r="C57" s="6" t="inlineStr">
        <is>
          <t>Share of the subject's units actually compared, by bed count and priced plan.</t>
        </is>
      </c>
    </row>
    <row r="58">
      <c r="A58" s="5" t="inlineStr">
        <is>
          <t>Subject vs comp set (mix-matched)</t>
        </is>
      </c>
      <c r="B58" s="11">
        <f>IFERROR(B56/B55-1,"")</f>
        <v/>
      </c>
      <c r="C58" s="6" t="inlineStr">
        <is>
          <t>Negative means the subject is underwritten BELOW the market — mark-to-market room rather than a stretch.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25" customWidth="1" min="4" max="4"/>
    <col width="12" customWidth="1" min="5" max="5"/>
    <col width="26" customWidth="1" min="6" max="6"/>
    <col width="14" customWidth="1" min="7" max="7"/>
  </cols>
  <sheetData>
    <row r="1">
      <c r="A1" s="1" t="inlineStr">
        <is>
          <t>Demand</t>
        </is>
      </c>
    </row>
    <row r="2">
      <c r="A2" s="2" t="inlineStr">
        <is>
          <t>Fixture Park — as of 2026-06-30</t>
        </is>
      </c>
    </row>
    <row r="3">
      <c r="A3" s="2" t="inlineStr">
        <is>
          <t>Summary table by drive-ring. Public demographic data.</t>
        </is>
      </c>
    </row>
    <row r="4">
      <c r="A4" s="3" t="n"/>
      <c r="B4" s="3" t="n"/>
      <c r="C4" s="3" t="n"/>
      <c r="D4" s="3" t="n"/>
      <c r="E4" s="3" t="n"/>
      <c r="F4" s="3" t="n"/>
      <c r="G4" s="3" t="n"/>
      <c r="H4" s="3" t="n"/>
    </row>
    <row r="5">
      <c r="A5" s="14" t="inlineStr">
        <is>
          <t>Ring</t>
        </is>
      </c>
      <c r="B5" s="14" t="inlineStr">
        <is>
          <t>Population</t>
        </is>
      </c>
      <c r="C5" s="14" t="inlineStr">
        <is>
          <t>Households</t>
        </is>
      </c>
      <c r="D5" s="14" t="inlineStr">
        <is>
          <t>Median household income</t>
        </is>
      </c>
      <c r="E5" s="14" t="inlineStr">
        <is>
          <t>Total jobs</t>
        </is>
      </c>
      <c r="F5" s="14" t="inlineStr">
        <is>
          <t>Population growth (5-yr)</t>
        </is>
      </c>
      <c r="G5" s="14" t="inlineStr">
        <is>
          <t>Renter share</t>
        </is>
      </c>
    </row>
    <row r="6">
      <c r="A6" s="5" t="inlineStr">
        <is>
          <t>1 mi</t>
        </is>
      </c>
      <c r="B6" s="7" t="n">
        <v>9840</v>
      </c>
      <c r="C6" s="7" t="n">
        <v>4020</v>
      </c>
      <c r="D6" s="7" t="n">
        <v>78400</v>
      </c>
      <c r="E6" s="7" t="n">
        <v>3150</v>
      </c>
      <c r="F6" s="11" t="n">
        <v>0.061</v>
      </c>
      <c r="G6" s="11" t="n">
        <v>0.44</v>
      </c>
    </row>
    <row r="7">
      <c r="A7" s="5" t="inlineStr">
        <is>
          <t>3 mi</t>
        </is>
      </c>
      <c r="B7" s="7" t="n">
        <v>61250</v>
      </c>
      <c r="C7" s="7" t="n">
        <v>24100</v>
      </c>
      <c r="D7" s="7" t="n">
        <v>84900</v>
      </c>
      <c r="E7" s="7" t="n">
        <v>27400</v>
      </c>
      <c r="F7" s="11" t="n">
        <v>0.078</v>
      </c>
      <c r="G7" s="11" t="n">
        <v>0.39</v>
      </c>
    </row>
    <row r="8">
      <c r="A8" s="5" t="inlineStr">
        <is>
          <t>5 mi</t>
        </is>
      </c>
      <c r="B8" s="7" t="n">
        <v>148300</v>
      </c>
      <c r="C8" s="7" t="n">
        <v>57600</v>
      </c>
      <c r="D8" s="7" t="n">
        <v>89200</v>
      </c>
      <c r="E8" s="7" t="n">
        <v>71800</v>
      </c>
      <c r="F8" s="11" t="n">
        <v>0.08400000000000001</v>
      </c>
      <c r="G8" s="11" t="n">
        <v>0.36</v>
      </c>
    </row>
    <row r="9">
      <c r="A9" s="5" t="inlineStr">
        <is>
          <t>10 mi</t>
        </is>
      </c>
      <c r="B9" s="7" t="n">
        <v>402700</v>
      </c>
      <c r="C9" s="7" t="n">
        <v>154900</v>
      </c>
      <c r="D9" s="7" t="n">
        <v>92600</v>
      </c>
      <c r="E9" s="7" t="n">
        <v>214500</v>
      </c>
      <c r="F9" s="11" t="n">
        <v>0.091</v>
      </c>
      <c r="G9" s="11" t="n">
        <v>0.34</v>
      </c>
    </row>
    <row r="10">
      <c r="A10" s="18" t="inlineStr">
        <is>
          <t>MSA</t>
        </is>
      </c>
      <c r="B10" s="19" t="n">
        <v>2418000</v>
      </c>
      <c r="C10" s="19" t="n">
        <v>903400</v>
      </c>
      <c r="D10" s="19" t="n">
        <v>86100</v>
      </c>
      <c r="E10" s="19" t="n">
        <v>1284000</v>
      </c>
      <c r="F10" s="20" t="n">
        <v>0.073</v>
      </c>
      <c r="G10" s="20" t="n">
        <v>0.37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2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2" customWidth="1" min="1" max="1"/>
    <col width="36" customWidth="1" min="2" max="2"/>
    <col width="16" customWidth="1" min="3" max="3"/>
    <col width="22" customWidth="1" min="4" max="4"/>
  </cols>
  <sheetData>
    <row r="1">
      <c r="A1" s="1" t="inlineStr">
        <is>
          <t>Competing supply</t>
        </is>
      </c>
    </row>
    <row r="2">
      <c r="A2" s="2" t="inlineStr">
        <is>
          <t>Fixture Park — as of 2026-06-30</t>
        </is>
      </c>
    </row>
    <row r="3">
      <c r="A3" s="2" t="inlineStr">
        <is>
          <t>Pipeline projects by ring and stage. Stage is stated because entitled units and delivered units are not the same risk. Public permit records.</t>
        </is>
      </c>
    </row>
    <row r="4">
      <c r="A4" s="3" t="n"/>
      <c r="B4" s="3" t="n"/>
      <c r="C4" s="3" t="n"/>
      <c r="D4" s="3" t="n"/>
      <c r="E4" s="3" t="n"/>
      <c r="F4" s="3" t="n"/>
      <c r="G4" s="3" t="n"/>
      <c r="H4" s="3" t="n"/>
    </row>
    <row r="5">
      <c r="A5" s="14" t="inlineStr">
        <is>
          <t>Ring</t>
        </is>
      </c>
      <c r="B5" s="14" t="inlineStr">
        <is>
          <t>Stage</t>
        </is>
      </c>
      <c r="C5" s="14" t="inlineStr">
        <is>
          <t>Projects</t>
        </is>
      </c>
      <c r="D5" s="14" t="inlineStr">
        <is>
          <t>Units</t>
        </is>
      </c>
    </row>
    <row r="6">
      <c r="A6" s="5" t="inlineStr">
        <is>
          <t>1 mi</t>
        </is>
      </c>
      <c r="B6" s="5" t="inlineStr">
        <is>
          <t>Entitlement</t>
        </is>
      </c>
      <c r="C6" s="7" t="n">
        <v>1</v>
      </c>
      <c r="D6" s="7" t="n">
        <v>220</v>
      </c>
    </row>
    <row r="7">
      <c r="A7" s="5" t="inlineStr">
        <is>
          <t>1 mi</t>
        </is>
      </c>
      <c r="B7" s="5" t="inlineStr">
        <is>
          <t>Permitted</t>
        </is>
      </c>
      <c r="C7" s="7" t="n">
        <v>1</v>
      </c>
      <c r="D7" s="7" t="n">
        <v>148</v>
      </c>
    </row>
    <row r="8">
      <c r="A8" s="5" t="inlineStr">
        <is>
          <t>1 mi</t>
        </is>
      </c>
      <c r="B8" s="5" t="inlineStr">
        <is>
          <t>Under construction</t>
        </is>
      </c>
      <c r="C8" s="7" t="n">
        <v>0</v>
      </c>
      <c r="D8" s="7" t="n">
        <v>0</v>
      </c>
    </row>
    <row r="9">
      <c r="A9" s="5" t="inlineStr">
        <is>
          <t>1 mi</t>
        </is>
      </c>
      <c r="B9" s="5" t="inlineStr">
        <is>
          <t>Delivered (24 mo)</t>
        </is>
      </c>
      <c r="C9" s="7" t="n">
        <v>1</v>
      </c>
      <c r="D9" s="7" t="n">
        <v>96</v>
      </c>
    </row>
    <row r="10">
      <c r="A10" s="5" t="inlineStr">
        <is>
          <t>3 mi</t>
        </is>
      </c>
      <c r="B10" s="5" t="inlineStr">
        <is>
          <t>Entitlement</t>
        </is>
      </c>
      <c r="C10" s="7" t="n">
        <v>3</v>
      </c>
      <c r="D10" s="7" t="n">
        <v>742</v>
      </c>
    </row>
    <row r="11">
      <c r="A11" s="5" t="inlineStr">
        <is>
          <t>3 mi</t>
        </is>
      </c>
      <c r="B11" s="5" t="inlineStr">
        <is>
          <t>Permitted</t>
        </is>
      </c>
      <c r="C11" s="7" t="n">
        <v>2</v>
      </c>
      <c r="D11" s="7" t="n">
        <v>410</v>
      </c>
    </row>
    <row r="12">
      <c r="A12" s="5" t="inlineStr">
        <is>
          <t>3 mi</t>
        </is>
      </c>
      <c r="B12" s="5" t="inlineStr">
        <is>
          <t>Under construction</t>
        </is>
      </c>
      <c r="C12" s="7" t="n">
        <v>2</v>
      </c>
      <c r="D12" s="7" t="n">
        <v>508</v>
      </c>
    </row>
    <row r="13">
      <c r="A13" s="5" t="inlineStr">
        <is>
          <t>3 mi</t>
        </is>
      </c>
      <c r="B13" s="5" t="inlineStr">
        <is>
          <t>Delivered (24 mo)</t>
        </is>
      </c>
      <c r="C13" s="7" t="n">
        <v>3</v>
      </c>
      <c r="D13" s="7" t="n">
        <v>624</v>
      </c>
    </row>
    <row r="14">
      <c r="A14" s="5" t="inlineStr">
        <is>
          <t>5 mi</t>
        </is>
      </c>
      <c r="B14" s="5" t="inlineStr">
        <is>
          <t>Entitlement</t>
        </is>
      </c>
      <c r="C14" s="7" t="n">
        <v>6</v>
      </c>
      <c r="D14" s="7" t="n">
        <v>1485</v>
      </c>
    </row>
    <row r="15">
      <c r="A15" s="5" t="inlineStr">
        <is>
          <t>5 mi</t>
        </is>
      </c>
      <c r="B15" s="5" t="inlineStr">
        <is>
          <t>Permitted</t>
        </is>
      </c>
      <c r="C15" s="7" t="n">
        <v>4</v>
      </c>
      <c r="D15" s="7" t="n">
        <v>903</v>
      </c>
    </row>
    <row r="16">
      <c r="A16" s="5" t="inlineStr">
        <is>
          <t>5 mi</t>
        </is>
      </c>
      <c r="B16" s="5" t="inlineStr">
        <is>
          <t>Under construction</t>
        </is>
      </c>
      <c r="C16" s="7" t="n">
        <v>5</v>
      </c>
      <c r="D16" s="7" t="n">
        <v>1240</v>
      </c>
    </row>
    <row r="17">
      <c r="A17" s="5" t="inlineStr">
        <is>
          <t>5 mi</t>
        </is>
      </c>
      <c r="B17" s="5" t="inlineStr">
        <is>
          <t>Delivered (24 mo)</t>
        </is>
      </c>
      <c r="C17" s="7" t="n">
        <v>7</v>
      </c>
      <c r="D17" s="7" t="n">
        <v>1608</v>
      </c>
    </row>
    <row r="18"/>
    <row r="19">
      <c r="A19" s="4" t="inlineStr">
        <is>
          <t>Ring totals</t>
        </is>
      </c>
      <c r="B19" s="4" t="n"/>
      <c r="C19" s="4" t="n"/>
      <c r="D19" s="4" t="n"/>
    </row>
    <row r="20">
      <c r="A20" s="14" t="inlineStr">
        <is>
          <t>Ring</t>
        </is>
      </c>
      <c r="B20" s="14" t="inlineStr">
        <is>
          <t>Pipeline units</t>
        </is>
      </c>
      <c r="C20" s="14" t="inlineStr">
        <is>
          <t>Existing stock</t>
        </is>
      </c>
      <c r="D20" s="14" t="inlineStr">
        <is>
          <t>Units as % of stock</t>
        </is>
      </c>
    </row>
    <row r="21">
      <c r="A21" s="5" t="inlineStr">
        <is>
          <t>1 mi</t>
        </is>
      </c>
      <c r="B21" s="7">
        <f>SUMIF($A$6:$A$17,$A21,$D$6:$D$17)</f>
        <v/>
      </c>
      <c r="C21" s="7" t="n">
        <v>3140</v>
      </c>
      <c r="D21" s="11">
        <f>IFERROR(B21/C21,"")</f>
        <v/>
      </c>
    </row>
    <row r="22">
      <c r="A22" s="5" t="inlineStr">
        <is>
          <t>3 mi</t>
        </is>
      </c>
      <c r="B22" s="7">
        <f>SUMIF($A$6:$A$17,$A22,$D$6:$D$17)</f>
        <v/>
      </c>
      <c r="C22" s="7" t="n">
        <v>18600</v>
      </c>
      <c r="D22" s="11">
        <f>IFERROR(B22/C22,"")</f>
        <v/>
      </c>
    </row>
    <row r="23">
      <c r="A23" s="5" t="inlineStr">
        <is>
          <t>5 mi</t>
        </is>
      </c>
      <c r="B23" s="7">
        <f>SUMIF($A$6:$A$17,$A23,$D$6:$D$17)</f>
        <v/>
      </c>
      <c r="C23" s="7" t="n">
        <v>41200</v>
      </c>
      <c r="D23" s="11">
        <f>IFERROR(B23/C23,"")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52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34" customWidth="1" min="1" max="1"/>
    <col width="22" customWidth="1" min="2" max="2"/>
    <col width="34" customWidth="1" min="3" max="3"/>
    <col width="26" customWidth="1" min="4" max="4"/>
    <col width="11" customWidth="1" min="5" max="5"/>
    <col width="34" customWidth="1" min="6" max="6"/>
    <col width="62" customWidth="1" min="7" max="7"/>
  </cols>
  <sheetData>
    <row r="1">
      <c r="A1" s="1" t="inlineStr">
        <is>
          <t>Audit trail</t>
        </is>
      </c>
    </row>
    <row r="2">
      <c r="A2" s="2" t="inlineStr">
        <is>
          <t>Fixture Park — as of 2026-06-30</t>
        </is>
      </c>
    </row>
    <row r="3">
      <c r="A3" s="2" t="inlineStr">
        <is>
          <t>Deal summary, comps, demand and supply. Every value below names the document it came from and where in it. A derived value names the values it was built from — one that could not would not have passed validation.</t>
        </is>
      </c>
    </row>
    <row r="4">
      <c r="A4" s="3" t="n"/>
      <c r="B4" s="3" t="n"/>
      <c r="C4" s="3" t="n"/>
      <c r="D4" s="3" t="n"/>
      <c r="E4" s="3" t="n"/>
      <c r="F4" s="3" t="n"/>
      <c r="G4" s="3" t="n"/>
      <c r="H4" s="3" t="n"/>
    </row>
    <row r="5">
      <c r="A5" s="13" t="inlineStr">
        <is>
          <t>Stamped values in this workbook</t>
        </is>
      </c>
      <c r="B5" s="21" t="n">
        <v>44</v>
      </c>
    </row>
    <row r="6">
      <c r="A6" s="13" t="inlineStr">
        <is>
          <t>Coverage of the required set</t>
        </is>
      </c>
      <c r="B6" t="inlineStr">
        <is>
          <t>52/52 (100%)</t>
        </is>
      </c>
    </row>
    <row r="8">
      <c r="A8" s="14" t="inlineStr">
        <is>
          <t>Value</t>
        </is>
      </c>
      <c r="B8" s="14" t="inlineStr">
        <is>
          <t>Value as published</t>
        </is>
      </c>
      <c r="C8" s="14" t="inlineStr">
        <is>
          <t>Source document</t>
        </is>
      </c>
      <c r="D8" s="14" t="inlineStr">
        <is>
          <t>Where in it</t>
        </is>
      </c>
      <c r="E8" s="14" t="inlineStr">
        <is>
          <t>How</t>
        </is>
      </c>
      <c r="F8" s="14" t="inlineStr">
        <is>
          <t>Built from</t>
        </is>
      </c>
      <c r="G8" s="14" t="inlineStr">
        <is>
          <t>Supporting quote / note</t>
        </is>
      </c>
    </row>
    <row r="9">
      <c r="A9" s="22" t="inlineStr">
        <is>
          <t>closing_costs.mortgage_tax.amount</t>
        </is>
      </c>
      <c r="B9" s="5" t="inlineStr">
        <is>
          <t>0</t>
        </is>
      </c>
      <c r="C9" s="5" t="inlineStr">
        <is>
          <t>Vendored state rate table</t>
        </is>
      </c>
      <c r="D9" s="5" t="inlineStr">
        <is>
          <t>closing_costs.MORTGAGE_TAX</t>
        </is>
      </c>
      <c r="E9" s="5" t="inlineStr">
        <is>
          <t>computed</t>
        </is>
      </c>
      <c r="F9" s="5" t="inlineStr">
        <is>
          <t>closing_costs.loan_amount, summary.state</t>
        </is>
      </c>
      <c r="G9" s="23" t="inlineStr">
        <is>
          <t>Computed on the LOAN, never on the price. With no loan amount the line is reported as not asserted rather than inferred at 100% leverage.</t>
        </is>
      </c>
    </row>
    <row r="10">
      <c r="A10" s="22" t="inlineStr">
        <is>
          <t>closing_costs.transfer_tax.amount</t>
        </is>
      </c>
      <c r="B10" s="5" t="inlineStr">
        <is>
          <t>0</t>
        </is>
      </c>
      <c r="C10" s="5" t="inlineStr">
        <is>
          <t>Vendored state rate table</t>
        </is>
      </c>
      <c r="D10" s="5" t="inlineStr">
        <is>
          <t>closing_costs.TRANSFER_TAX</t>
        </is>
      </c>
      <c r="E10" s="5" t="inlineStr">
        <is>
          <t>computed</t>
        </is>
      </c>
      <c r="F10" s="5" t="inlineStr">
        <is>
          <t>pricing.price_per_unit, pricing.unit_count, summary.state, closing_costs.price</t>
        </is>
      </c>
      <c r="G10" s="23" t="inlineStr">
        <is>
          <t>Rate applied to price_per_unit x unit_count. Per-unit statutes round the consideration up.</t>
        </is>
      </c>
    </row>
    <row r="11">
      <c r="A11" s="22" t="inlineStr">
        <is>
          <t>comps.nearby</t>
        </is>
      </c>
      <c r="B11" s="5" t="inlineStr">
        <is>
          <t>4 entries</t>
        </is>
      </c>
      <c r="C11" s="5" t="inlineStr">
        <is>
          <t>Tracked-community registry</t>
        </is>
      </c>
      <c r="D11" s="5" t="inlineStr">
        <is>
          <t>rents.communities within the radius</t>
        </is>
      </c>
      <c r="E11" s="5" t="inlineStr">
        <is>
          <t>derived</t>
        </is>
      </c>
      <c r="F11" s="5" t="inlineStr">
        <is>
          <t>comps.rows.tier</t>
        </is>
      </c>
      <c r="G11" s="23" t="inlineStr">
        <is>
          <t>Every tracked community inside the radius that is not a detail row, with the reason it is not. No rent columns.</t>
        </is>
      </c>
    </row>
    <row r="12">
      <c r="A12" s="22" t="inlineStr">
        <is>
          <t>comps.rows</t>
        </is>
      </c>
      <c r="B12" s="5" t="inlineStr">
        <is>
          <t>25 entries</t>
        </is>
      </c>
      <c r="C12" s="5" t="inlineStr">
        <is>
          <t>Synthetic weekly rent scrape</t>
        </is>
      </c>
      <c r="D12" s="5" t="inlineStr">
        <is>
          <t>—</t>
        </is>
      </c>
      <c r="E12" s="5" t="inlineStr">
        <is>
          <t>read</t>
        </is>
      </c>
      <c r="F12" s="12" t="n"/>
      <c r="G12" s="23" t="inlineStr">
        <is>
          <t>Own weekly scrape; asking and net effective stated separately.</t>
        </is>
      </c>
    </row>
    <row r="13">
      <c r="A13" s="22" t="inlineStr">
        <is>
          <t>comps.rows.tier</t>
        </is>
      </c>
      <c r="B13" s="5" t="inlineStr">
        <is>
          <t>—</t>
        </is>
      </c>
      <c r="C13" s="5" t="inlineStr">
        <is>
          <t>Tracked-community registry + the scrape</t>
        </is>
      </c>
      <c r="D13" s="5" t="inlineStr">
        <is>
          <t>comp_tiers.assign</t>
        </is>
      </c>
      <c r="E13" s="5" t="inlineStr">
        <is>
          <t>derived</t>
        </is>
      </c>
      <c r="F13" s="5" t="inlineStr">
        <is>
          <t>comps.rows.distance_mi, comps.tiering.subject_product, comps.tiering.subject_year_built, comps.tiering.year_band, comps.tiering.top_n, comps.tiering.additional_n</t>
        </is>
      </c>
      <c r="G13" s="23" t="inlineStr">
        <is>
          <t>Tier 1 = the closest 5 matching product and vintage; tier 2 = the next 15; everything else is tier 3, identity only. An unknown year does not disqualify — it is disclosed on the tier header instead.</t>
        </is>
      </c>
    </row>
    <row r="14">
      <c r="A14" s="22" t="inlineStr">
        <is>
          <t>demand.rings</t>
        </is>
      </c>
      <c r="B14" s="5" t="inlineStr">
        <is>
          <t>5 entries</t>
        </is>
      </c>
      <c r="C14" s="5" t="inlineStr">
        <is>
          <t>Synthetic public data extract</t>
        </is>
      </c>
      <c r="D14" s="5" t="inlineStr">
        <is>
          <t>—</t>
        </is>
      </c>
      <c r="E14" s="5" t="inlineStr">
        <is>
          <t>read</t>
        </is>
      </c>
      <c r="F14" s="12" t="n"/>
      <c r="G14" s="23" t="inlineStr">
        <is>
          <t>Ring demographics.</t>
        </is>
      </c>
    </row>
    <row r="15">
      <c r="A15" s="22" t="inlineStr">
        <is>
          <t>pricing.price_per_unit</t>
        </is>
      </c>
      <c r="B15" s="5" t="inlineStr">
        <is>
          <t>215,000</t>
        </is>
      </c>
      <c r="C15" s="5" t="inlineStr">
        <is>
          <t>Supplied by the operator</t>
        </is>
      </c>
      <c r="D15" s="5" t="inlineStr">
        <is>
          <t>—</t>
        </is>
      </c>
      <c r="E15" s="5" t="inlineStr">
        <is>
          <t>read</t>
        </is>
      </c>
      <c r="F15" s="12" t="n"/>
      <c r="G15" s="23" t="inlineStr">
        <is>
          <t>Illustrative. Inside the band a per-unit sale price occupies.</t>
        </is>
      </c>
    </row>
    <row r="16">
      <c r="A16" s="22" t="inlineStr">
        <is>
          <t>pricing.unit_count</t>
        </is>
      </c>
      <c r="B16" s="5" t="inlineStr">
        <is>
          <t>180</t>
        </is>
      </c>
      <c r="C16" s="5" t="inlineStr">
        <is>
          <t>Synthetic rent roll export</t>
        </is>
      </c>
      <c r="D16" s="5" t="inlineStr">
        <is>
          <t>Rent Roll!A:A</t>
        </is>
      </c>
      <c r="E16" s="5" t="inlineStr">
        <is>
          <t>derived</t>
        </is>
      </c>
      <c r="F16" s="5" t="inlineStr">
        <is>
          <t>summary.unit_count</t>
        </is>
      </c>
      <c r="G16" s="24" t="n"/>
    </row>
    <row r="17">
      <c r="A17" s="22" t="inlineStr">
        <is>
          <t>summary.assessed_value_basis</t>
        </is>
      </c>
      <c r="B17" s="5" t="inlineStr">
        <is>
          <t>23,000,000</t>
        </is>
      </c>
      <c r="C17" s="5" t="inlineStr">
        <is>
          <t>Synthetic county tax record</t>
        </is>
      </c>
      <c r="D17" s="5" t="inlineStr">
        <is>
          <t>Valuation notice</t>
        </is>
      </c>
      <c r="E17" s="5" t="inlineStr">
        <is>
          <t>read</t>
        </is>
      </c>
      <c r="F17" s="12" t="n"/>
      <c r="G17" s="24" t="n"/>
    </row>
    <row r="18">
      <c r="A18" s="22" t="inlineStr">
        <is>
          <t>summary.assessment_ratio</t>
        </is>
      </c>
      <c r="B18" s="5" t="inlineStr">
        <is>
          <t>1</t>
        </is>
      </c>
      <c r="C18" s="5" t="inlineStr">
        <is>
          <t>Synthetic county tax record</t>
        </is>
      </c>
      <c r="D18" s="5" t="inlineStr">
        <is>
          <t>Rate table</t>
        </is>
      </c>
      <c r="E18" s="5" t="inlineStr">
        <is>
          <t>read</t>
        </is>
      </c>
      <c r="F18" s="12" t="n"/>
      <c r="G18" s="24" t="n"/>
    </row>
    <row r="19">
      <c r="A19" s="22" t="inlineStr">
        <is>
          <t>summary.city</t>
        </is>
      </c>
      <c r="B19" s="5" t="inlineStr">
        <is>
          <t>Sample City</t>
        </is>
      </c>
      <c r="C19" s="5" t="inlineStr">
        <is>
          <t>Synthetic offering memorandum</t>
        </is>
      </c>
      <c r="D19" s="5" t="inlineStr">
        <is>
          <t>p.4</t>
        </is>
      </c>
      <c r="E19" s="5" t="inlineStr">
        <is>
          <t>read</t>
        </is>
      </c>
      <c r="F19" s="12" t="n"/>
      <c r="G19" s="24" t="n"/>
    </row>
    <row r="20">
      <c r="A20" s="22" t="inlineStr">
        <is>
          <t>summary.construction_status</t>
        </is>
      </c>
      <c r="B20" s="5" t="inlineStr">
        <is>
          <t>Stabilized</t>
        </is>
      </c>
      <c r="C20" s="5" t="inlineStr">
        <is>
          <t>Synthetic offering memorandum</t>
        </is>
      </c>
      <c r="D20" s="5" t="inlineStr">
        <is>
          <t>p.6</t>
        </is>
      </c>
      <c r="E20" s="5" t="inlineStr">
        <is>
          <t>read</t>
        </is>
      </c>
      <c r="F20" s="12" t="n"/>
      <c r="G20" s="24" t="n"/>
    </row>
    <row r="21">
      <c r="A21" s="22" t="inlineStr">
        <is>
          <t>summary.county</t>
        </is>
      </c>
      <c r="B21" s="5" t="inlineStr">
        <is>
          <t>Example County</t>
        </is>
      </c>
      <c r="C21" s="5" t="inlineStr">
        <is>
          <t>Synthetic offering memorandum</t>
        </is>
      </c>
      <c r="D21" s="5" t="inlineStr">
        <is>
          <t>p.4</t>
        </is>
      </c>
      <c r="E21" s="5" t="inlineStr">
        <is>
          <t>read</t>
        </is>
      </c>
      <c r="F21" s="12" t="n"/>
      <c r="G21" s="24" t="n"/>
    </row>
    <row r="22">
      <c r="A22" s="22" t="inlineStr">
        <is>
          <t>summary.deal_name</t>
        </is>
      </c>
      <c r="B22" s="5" t="inlineStr">
        <is>
          <t>Fixture Park</t>
        </is>
      </c>
      <c r="C22" s="5" t="inlineStr">
        <is>
          <t>Synthetic offering memorandum</t>
        </is>
      </c>
      <c r="D22" s="5" t="inlineStr">
        <is>
          <t>p.1</t>
        </is>
      </c>
      <c r="E22" s="5" t="inlineStr">
        <is>
          <t>read</t>
        </is>
      </c>
      <c r="F22" s="12" t="n"/>
      <c r="G22" s="23" t="inlineStr">
        <is>
          <t>Fixture Park</t>
        </is>
      </c>
    </row>
    <row r="23">
      <c r="A23" s="22" t="inlineStr">
        <is>
          <t>summary.deal_status</t>
        </is>
      </c>
      <c r="B23" s="5" t="inlineStr">
        <is>
          <t>On the market</t>
        </is>
      </c>
      <c r="C23" s="5" t="inlineStr">
        <is>
          <t>Synthetic offering memorandum</t>
        </is>
      </c>
      <c r="D23" s="5" t="inlineStr">
        <is>
          <t>p.2</t>
        </is>
      </c>
      <c r="E23" s="5" t="inlineStr">
        <is>
          <t>read</t>
        </is>
      </c>
      <c r="F23" s="12" t="n"/>
      <c r="G23" s="24" t="n"/>
    </row>
    <row r="24">
      <c r="A24" s="22" t="inlineStr">
        <is>
          <t>summary.delivery_date</t>
        </is>
      </c>
      <c r="B24" s="5" t="inlineStr">
        <is>
          <t>Delivered 2019; fully stabilized since 2021</t>
        </is>
      </c>
      <c r="C24" s="5" t="inlineStr">
        <is>
          <t>Synthetic offering memorandum</t>
        </is>
      </c>
      <c r="D24" s="5" t="inlineStr">
        <is>
          <t>p.6</t>
        </is>
      </c>
      <c r="E24" s="5" t="inlineStr">
        <is>
          <t>read</t>
        </is>
      </c>
      <c r="F24" s="12" t="n"/>
      <c r="G24" s="24" t="n"/>
    </row>
    <row r="25">
      <c r="A25" s="22" t="inlineStr">
        <is>
          <t>summary.fair_market_value</t>
        </is>
      </c>
      <c r="B25" s="5" t="inlineStr">
        <is>
          <t>39,600,000</t>
        </is>
      </c>
      <c r="C25" s="5" t="inlineStr">
        <is>
          <t>Supplied by the operator</t>
        </is>
      </c>
      <c r="D25" s="5" t="inlineStr">
        <is>
          <t>—</t>
        </is>
      </c>
      <c r="E25" s="5" t="inlineStr">
        <is>
          <t>read</t>
        </is>
      </c>
      <c r="F25" s="12" t="n"/>
      <c r="G25" s="23" t="inlineStr">
        <is>
          <t>Operator's own estimate.</t>
        </is>
      </c>
    </row>
    <row r="26">
      <c r="A26" s="22" t="inlineStr">
        <is>
          <t>summary.in_place_rent_avg</t>
        </is>
      </c>
      <c r="B26" s="5" t="inlineStr">
        <is>
          <t>1,795.36</t>
        </is>
      </c>
      <c r="C26" s="5" t="inlineStr">
        <is>
          <t>Derived by the pipeline</t>
        </is>
      </c>
      <c r="D26" s="5" t="inlineStr">
        <is>
          <t>Unit Mix Summary!E</t>
        </is>
      </c>
      <c r="E26" s="5" t="inlineStr">
        <is>
          <t>computed</t>
        </is>
      </c>
      <c r="F26" s="5" t="inlineStr">
        <is>
          <t>rent_roll.units</t>
        </is>
      </c>
      <c r="G26" s="23" t="inlineStr">
        <is>
          <t>Occupied units, straight off the roll.</t>
        </is>
      </c>
    </row>
    <row r="27">
      <c r="A27" s="22" t="inlineStr">
        <is>
          <t>summary.listing_brokerage</t>
        </is>
      </c>
      <c r="B27" s="5" t="inlineStr">
        <is>
          <t>Listing brokerage</t>
        </is>
      </c>
      <c r="C27" s="5" t="inlineStr">
        <is>
          <t>Derived by the pipeline</t>
        </is>
      </c>
      <c r="D27" s="5" t="inlineStr">
        <is>
          <t>—</t>
        </is>
      </c>
      <c r="E27" s="5" t="inlineStr">
        <is>
          <t>derived</t>
        </is>
      </c>
      <c r="F27" s="5" t="inlineStr">
        <is>
          <t>summary.seller_entity</t>
        </is>
      </c>
      <c r="G27" s="23" t="inlineStr">
        <is>
          <t>Generic label; no firm or individual is named in a published file.</t>
        </is>
      </c>
    </row>
    <row r="28">
      <c r="A28" s="22" t="inlineStr">
        <is>
          <t>summary.market_rent_for_model</t>
        </is>
      </c>
      <c r="B28" s="5" t="inlineStr">
        <is>
          <t>1,834.78</t>
        </is>
      </c>
      <c r="C28" s="5" t="inlineStr">
        <is>
          <t>Derived by the pipeline</t>
        </is>
      </c>
      <c r="D28" s="5" t="inlineStr">
        <is>
          <t>Unit Mix Summary!H</t>
        </is>
      </c>
      <c r="E28" s="5" t="inlineStr">
        <is>
          <t>computed</t>
        </is>
      </c>
      <c r="F28" s="5" t="inlineStr">
        <is>
          <t>rent_roll.units</t>
        </is>
      </c>
      <c r="G28" s="23" t="inlineStr">
        <is>
          <t>New-lease average where a plan has new leases in the window, else in-place. Never a blend.</t>
        </is>
      </c>
    </row>
    <row r="29">
      <c r="A29" s="22" t="inlineStr">
        <is>
          <t>summary.msa</t>
        </is>
      </c>
      <c r="B29" s="5" t="inlineStr">
        <is>
          <t>Sample City MSA</t>
        </is>
      </c>
      <c r="C29" s="5" t="inlineStr">
        <is>
          <t>Derived by the pipeline</t>
        </is>
      </c>
      <c r="D29" s="5" t="inlineStr">
        <is>
          <t>—</t>
        </is>
      </c>
      <c r="E29" s="5" t="inlineStr">
        <is>
          <t>derived</t>
        </is>
      </c>
      <c r="F29" s="5" t="inlineStr">
        <is>
          <t>summary.city, summary.state</t>
        </is>
      </c>
      <c r="G29" s="23" t="inlineStr">
        <is>
          <t>Metro assigned from the city/state pair.</t>
        </is>
      </c>
    </row>
    <row r="30">
      <c r="A30" s="22" t="inlineStr">
        <is>
          <t>summary.pricing_guidance</t>
        </is>
      </c>
      <c r="B30" s="5" t="inlineStr">
        <is>
          <t>$215,000 per unit (illustrative)</t>
        </is>
      </c>
      <c r="C30" s="5" t="inlineStr">
        <is>
          <t>Supplied by the operator</t>
        </is>
      </c>
      <c r="D30" s="5" t="inlineStr">
        <is>
          <t>—</t>
        </is>
      </c>
      <c r="E30" s="5" t="inlineStr">
        <is>
          <t>read</t>
        </is>
      </c>
      <c r="F30" s="12" t="n"/>
      <c r="G30" s="23" t="inlineStr">
        <is>
          <t>Illustrative figure supplied directly; not a quote or an offer.</t>
        </is>
      </c>
    </row>
    <row r="31">
      <c r="A31" s="22" t="inlineStr">
        <is>
          <t>summary.product_detail</t>
        </is>
      </c>
      <c r="B31" s="5" t="inlineStr">
        <is>
          <t>180 units across six plans: 62 one-bedroom (720–795 SF), 78 two-bedroom (1,050–1,140 SF…</t>
        </is>
      </c>
      <c r="C31" s="5" t="inlineStr">
        <is>
          <t>Synthetic offering memorandum</t>
        </is>
      </c>
      <c r="D31" s="5" t="inlineStr">
        <is>
          <t>p.7</t>
        </is>
      </c>
      <c r="E31" s="5" t="inlineStr">
        <is>
          <t>read</t>
        </is>
      </c>
      <c r="F31" s="12" t="n"/>
      <c r="G31" s="24" t="n"/>
    </row>
    <row r="32">
      <c r="A32" s="22" t="inlineStr">
        <is>
          <t>summary.product_type</t>
        </is>
      </c>
      <c r="B32" s="5" t="inlineStr">
        <is>
          <t>MF</t>
        </is>
      </c>
      <c r="C32" s="5" t="inlineStr">
        <is>
          <t>Synthetic offering memorandum</t>
        </is>
      </c>
      <c r="D32" s="5" t="inlineStr">
        <is>
          <t>p.6</t>
        </is>
      </c>
      <c r="E32" s="5" t="inlineStr">
        <is>
          <t>read</t>
        </is>
      </c>
      <c r="F32" s="12" t="n"/>
      <c r="G32" s="24" t="n"/>
    </row>
    <row r="33">
      <c r="A33" s="22" t="inlineStr">
        <is>
          <t>summary.school_elementary_name</t>
        </is>
      </c>
      <c r="B33" s="5" t="inlineStr">
        <is>
          <t>Example Creek Elementary</t>
        </is>
      </c>
      <c r="C33" s="5" t="inlineStr">
        <is>
          <t>Synthetic public data extract</t>
        </is>
      </c>
      <c r="D33" s="5" t="inlineStr">
        <is>
          <t>School attendance lookup</t>
        </is>
      </c>
      <c r="E33" s="5" t="inlineStr">
        <is>
          <t>read</t>
        </is>
      </c>
      <c r="F33" s="12" t="n"/>
      <c r="G33" s="24" t="n"/>
    </row>
    <row r="34">
      <c r="A34" s="22" t="inlineStr">
        <is>
          <t>summary.school_high_name</t>
        </is>
      </c>
      <c r="B34" s="5" t="inlineStr">
        <is>
          <t>Sample City High</t>
        </is>
      </c>
      <c r="C34" s="5" t="inlineStr">
        <is>
          <t>Synthetic public data extract</t>
        </is>
      </c>
      <c r="D34" s="5" t="inlineStr">
        <is>
          <t>School attendance lookup</t>
        </is>
      </c>
      <c r="E34" s="5" t="inlineStr">
        <is>
          <t>read</t>
        </is>
      </c>
      <c r="F34" s="12" t="n"/>
      <c r="G34" s="24" t="n"/>
    </row>
    <row r="35">
      <c r="A35" s="22" t="inlineStr">
        <is>
          <t>summary.school_middle_name</t>
        </is>
      </c>
      <c r="B35" s="5" t="inlineStr">
        <is>
          <t>Example Ridge Middle</t>
        </is>
      </c>
      <c r="C35" s="5" t="inlineStr">
        <is>
          <t>Synthetic public data extract</t>
        </is>
      </c>
      <c r="D35" s="5" t="inlineStr">
        <is>
          <t>School attendance lookup</t>
        </is>
      </c>
      <c r="E35" s="5" t="inlineStr">
        <is>
          <t>read</t>
        </is>
      </c>
      <c r="F35" s="12" t="n"/>
      <c r="G35" s="24" t="n"/>
    </row>
    <row r="36">
      <c r="A36" s="22" t="inlineStr">
        <is>
          <t>summary.seller_entity</t>
        </is>
      </c>
      <c r="B36" s="5" t="inlineStr">
        <is>
          <t>Sample City Residential Holdings LLC</t>
        </is>
      </c>
      <c r="C36" s="5" t="inlineStr">
        <is>
          <t>Synthetic offering memorandum</t>
        </is>
      </c>
      <c r="D36" s="5" t="inlineStr">
        <is>
          <t>p.2</t>
        </is>
      </c>
      <c r="E36" s="5" t="inlineStr">
        <is>
          <t>read</t>
        </is>
      </c>
      <c r="F36" s="12" t="n"/>
      <c r="G36" s="24" t="n"/>
    </row>
    <row r="37">
      <c r="A37" s="22" t="inlineStr">
        <is>
          <t>summary.state</t>
        </is>
      </c>
      <c r="B37" s="5" t="inlineStr">
        <is>
          <t>TX</t>
        </is>
      </c>
      <c r="C37" s="5" t="inlineStr">
        <is>
          <t>Synthetic offering memorandum</t>
        </is>
      </c>
      <c r="D37" s="5" t="inlineStr">
        <is>
          <t>p.4</t>
        </is>
      </c>
      <c r="E37" s="5" t="inlineStr">
        <is>
          <t>read</t>
        </is>
      </c>
      <c r="F37" s="12" t="n"/>
      <c r="G37" s="24" t="n"/>
    </row>
    <row r="38">
      <c r="A38" s="22" t="inlineStr">
        <is>
          <t>summary.street_address</t>
        </is>
      </c>
      <c r="B38" s="5" t="inlineStr">
        <is>
          <t>1400 Example Parkway</t>
        </is>
      </c>
      <c r="C38" s="5" t="inlineStr">
        <is>
          <t>Synthetic offering memorandum</t>
        </is>
      </c>
      <c r="D38" s="5" t="inlineStr">
        <is>
          <t>p.4</t>
        </is>
      </c>
      <c r="E38" s="5" t="inlineStr">
        <is>
          <t>read</t>
        </is>
      </c>
      <c r="F38" s="12" t="n"/>
      <c r="G38" s="23" t="inlineStr">
        <is>
          <t>1400 Example Parkway</t>
        </is>
      </c>
    </row>
    <row r="39">
      <c r="A39" s="22" t="inlineStr">
        <is>
          <t>summary.structure</t>
        </is>
      </c>
      <c r="B39" s="5" t="inlineStr">
        <is>
          <t>Three-story garden, surface parked</t>
        </is>
      </c>
      <c r="C39" s="5" t="inlineStr">
        <is>
          <t>Synthetic offering memorandum</t>
        </is>
      </c>
      <c r="D39" s="5" t="inlineStr">
        <is>
          <t>p.6</t>
        </is>
      </c>
      <c r="E39" s="5" t="inlineStr">
        <is>
          <t>read</t>
        </is>
      </c>
      <c r="F39" s="12" t="n"/>
      <c r="G39" s="23" t="inlineStr">
        <is>
          <t>Three-story garden, surface parked</t>
        </is>
      </c>
    </row>
    <row r="40">
      <c r="A40" s="22" t="inlineStr">
        <is>
          <t>summary.tax_area_code</t>
        </is>
      </c>
      <c r="B40" s="5" t="inlineStr">
        <is>
          <t>SYN-0000</t>
        </is>
      </c>
      <c r="C40" s="5" t="inlineStr">
        <is>
          <t>Synthetic county tax record</t>
        </is>
      </c>
      <c r="D40" s="5" t="inlineStr">
        <is>
          <t>Rate table</t>
        </is>
      </c>
      <c r="E40" s="5" t="inlineStr">
        <is>
          <t>read</t>
        </is>
      </c>
      <c r="F40" s="12" t="n"/>
      <c r="G40" s="24" t="n"/>
    </row>
    <row r="41">
      <c r="A41" s="22" t="inlineStr">
        <is>
          <t>summary.tax_basis_label</t>
        </is>
      </c>
      <c r="B41" s="5" t="inlineStr">
        <is>
          <t>Assessed value (synthetic)</t>
        </is>
      </c>
      <c r="C41" s="5" t="inlineStr">
        <is>
          <t>Synthetic county tax record</t>
        </is>
      </c>
      <c r="D41" s="5" t="inlineStr">
        <is>
          <t>Valuation notice</t>
        </is>
      </c>
      <c r="E41" s="5" t="inlineStr">
        <is>
          <t>read</t>
        </is>
      </c>
      <c r="F41" s="12" t="n"/>
      <c r="G41" s="24" t="n"/>
    </row>
    <row r="42">
      <c r="A42" s="22" t="inlineStr">
        <is>
          <t>summary.tax_basis_note</t>
        </is>
      </c>
      <c r="B42" s="5" t="inlineStr">
        <is>
          <t>Synthetic basis. On a real deal this row states what the basis IS in that state and whe…</t>
        </is>
      </c>
      <c r="C42" s="5" t="inlineStr">
        <is>
          <t>Synthetic county tax record</t>
        </is>
      </c>
      <c r="D42" s="5" t="inlineStr">
        <is>
          <t>Valuation notice</t>
        </is>
      </c>
      <c r="E42" s="5" t="inlineStr">
        <is>
          <t>read</t>
        </is>
      </c>
      <c r="F42" s="12" t="n"/>
      <c r="G42" s="24" t="n"/>
    </row>
    <row r="43">
      <c r="A43" s="22" t="inlineStr">
        <is>
          <t>summary.tax_billed_amount</t>
        </is>
      </c>
      <c r="B43" s="5" t="inlineStr">
        <is>
          <t>494,040</t>
        </is>
      </c>
      <c r="C43" s="5" t="inlineStr">
        <is>
          <t>Synthetic county tax record</t>
        </is>
      </c>
      <c r="D43" s="5" t="inlineStr">
        <is>
          <t>Tax bill</t>
        </is>
      </c>
      <c r="E43" s="5" t="inlineStr">
        <is>
          <t>read</t>
        </is>
      </c>
      <c r="F43" s="12" t="n"/>
      <c r="G43" s="24" t="n"/>
    </row>
    <row r="44">
      <c r="A44" s="22" t="inlineStr">
        <is>
          <t>summary.tax_billed_year</t>
        </is>
      </c>
      <c r="B44" s="5" t="inlineStr">
        <is>
          <t>2,025</t>
        </is>
      </c>
      <c r="C44" s="5" t="inlineStr">
        <is>
          <t>Synthetic county tax record</t>
        </is>
      </c>
      <c r="D44" s="5" t="inlineStr">
        <is>
          <t>Tax bill</t>
        </is>
      </c>
      <c r="E44" s="5" t="inlineStr">
        <is>
          <t>read</t>
        </is>
      </c>
      <c r="F44" s="12" t="n"/>
      <c r="G44" s="24" t="n"/>
    </row>
    <row r="45">
      <c r="A45" s="22" t="inlineStr">
        <is>
          <t>summary.tax_divisor</t>
        </is>
      </c>
      <c r="B45" s="5" t="inlineStr">
        <is>
          <t>100</t>
        </is>
      </c>
      <c r="C45" s="5" t="inlineStr">
        <is>
          <t>Synthetic county tax record</t>
        </is>
      </c>
      <c r="D45" s="5" t="inlineStr">
        <is>
          <t>Rate table</t>
        </is>
      </c>
      <c r="E45" s="5" t="inlineStr">
        <is>
          <t>read</t>
        </is>
      </c>
      <c r="F45" s="12" t="n"/>
      <c r="G45" s="24" t="n"/>
    </row>
    <row r="46">
      <c r="A46" s="22" t="inlineStr">
        <is>
          <t>summary.tax_exemption</t>
        </is>
      </c>
      <c r="B46" s="5" t="inlineStr">
        <is>
          <t>0</t>
        </is>
      </c>
      <c r="C46" s="5" t="inlineStr">
        <is>
          <t>Synthetic county tax record</t>
        </is>
      </c>
      <c r="D46" s="5" t="inlineStr">
        <is>
          <t>Valuation notice</t>
        </is>
      </c>
      <c r="E46" s="5" t="inlineStr">
        <is>
          <t>read</t>
        </is>
      </c>
      <c r="F46" s="12" t="n"/>
      <c r="G46" s="24" t="n"/>
    </row>
    <row r="47">
      <c r="A47" s="22" t="inlineStr">
        <is>
          <t>summary.tax_parcel_id</t>
        </is>
      </c>
      <c r="B47" s="5" t="inlineStr">
        <is>
          <t>SYN-000-00-000</t>
        </is>
      </c>
      <c r="C47" s="5" t="inlineStr">
        <is>
          <t>Synthetic county tax record</t>
        </is>
      </c>
      <c r="D47" s="5" t="inlineStr">
        <is>
          <t>Parcel record</t>
        </is>
      </c>
      <c r="E47" s="5" t="inlineStr">
        <is>
          <t>read</t>
        </is>
      </c>
      <c r="F47" s="12" t="n"/>
      <c r="G47" s="24" t="n"/>
    </row>
    <row r="48">
      <c r="A48" s="22" t="inlineStr">
        <is>
          <t>summary.tax_rate_as_billed</t>
        </is>
      </c>
      <c r="B48" s="5" t="inlineStr">
        <is>
          <t>2.15</t>
        </is>
      </c>
      <c r="C48" s="5" t="inlineStr">
        <is>
          <t>Synthetic county tax record</t>
        </is>
      </c>
      <c r="D48" s="5" t="inlineStr">
        <is>
          <t>Rate table, synthetic district</t>
        </is>
      </c>
      <c r="E48" s="5" t="inlineStr">
        <is>
          <t>read</t>
        </is>
      </c>
      <c r="F48" s="12" t="n"/>
      <c r="G48" s="24" t="n"/>
    </row>
    <row r="49">
      <c r="A49" s="22" t="inlineStr">
        <is>
          <t>summary.unit_count</t>
        </is>
      </c>
      <c r="B49" s="5" t="inlineStr">
        <is>
          <t>180</t>
        </is>
      </c>
      <c r="C49" s="5" t="inlineStr">
        <is>
          <t>Synthetic rent roll export</t>
        </is>
      </c>
      <c r="D49" s="5" t="inlineStr">
        <is>
          <t>Rent Roll!A:A</t>
        </is>
      </c>
      <c r="E49" s="5" t="inlineStr">
        <is>
          <t>derived</t>
        </is>
      </c>
      <c r="F49" s="5" t="inlineStr">
        <is>
          <t>rent_roll.units</t>
        </is>
      </c>
      <c r="G49" s="23" t="inlineStr">
        <is>
          <t>Distinct unit identifiers on the roll.</t>
        </is>
      </c>
    </row>
    <row r="50">
      <c r="A50" s="22" t="inlineStr">
        <is>
          <t>summary.year_built</t>
        </is>
      </c>
      <c r="B50" s="5" t="inlineStr">
        <is>
          <t>2,019</t>
        </is>
      </c>
      <c r="C50" s="5" t="inlineStr">
        <is>
          <t>Synthetic offering memorandum</t>
        </is>
      </c>
      <c r="D50" s="5" t="inlineStr">
        <is>
          <t>p.6</t>
        </is>
      </c>
      <c r="E50" s="5" t="inlineStr">
        <is>
          <t>read</t>
        </is>
      </c>
      <c r="F50" s="12" t="n"/>
      <c r="G50" s="24" t="n"/>
    </row>
    <row r="51">
      <c r="A51" s="22" t="inlineStr">
        <is>
          <t>summary.zip</t>
        </is>
      </c>
      <c r="B51" s="5" t="inlineStr">
        <is>
          <t>75000</t>
        </is>
      </c>
      <c r="C51" s="5" t="inlineStr">
        <is>
          <t>Synthetic offering memorandum</t>
        </is>
      </c>
      <c r="D51" s="5" t="inlineStr">
        <is>
          <t>p.4</t>
        </is>
      </c>
      <c r="E51" s="5" t="inlineStr">
        <is>
          <t>read</t>
        </is>
      </c>
      <c r="F51" s="12" t="n"/>
      <c r="G51" s="24" t="n"/>
    </row>
    <row r="52">
      <c r="A52" s="22" t="inlineStr">
        <is>
          <t>supply.rings</t>
        </is>
      </c>
      <c r="B52" s="5" t="inlineStr">
        <is>
          <t>12 entries</t>
        </is>
      </c>
      <c r="C52" s="5" t="inlineStr">
        <is>
          <t>Synthetic public data extract</t>
        </is>
      </c>
      <c r="D52" s="5" t="inlineStr">
        <is>
          <t>—</t>
        </is>
      </c>
      <c r="E52" s="5" t="inlineStr">
        <is>
          <t>read</t>
        </is>
      </c>
      <c r="F52" s="12" t="n"/>
      <c r="G52" s="23" t="inlineStr">
        <is>
          <t>Permit and entitlement records.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AI Underwriting Pipeline</dc:creator>
  <dcterms:created xsi:type="dcterms:W3CDTF">2026-09-01T00:00:00Z</dcterms:created>
  <dcterms:modified xsi:type="dcterms:W3CDTF">2026-09-01T00:00:00Z</dcterms:modified>
  <cp:lastModifiedBy>AI Underwriting Pipeline</cp:lastModifiedBy>
</cp:coreProperties>
</file>