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al Summary" sheetId="1" state="visible" r:id="rId1"/>
    <sheet name="Rent Comps" sheetId="2" state="visible" r:id="rId2"/>
    <sheet name="Demand" sheetId="3" state="visible" r:id="rId3"/>
    <sheet name="Supp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"/>
    <numFmt numFmtId="167" formatCode="yyyy-mm-dd"/>
    <numFmt numFmtId="168" formatCode="mm/dd/yyyy"/>
  </numFmts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00595959"/>
      </patternFill>
    </fill>
    <fill>
      <patternFill patternType="solid">
        <fgColor rgb="00D9D9D9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0" pivotButton="0" quotePrefix="0" xfId="0"/>
    <xf numFmtId="49" fontId="4" fillId="0" borderId="0" pivotButton="0" quotePrefix="0" xfId="0"/>
    <xf numFmtId="0" fontId="2" fillId="0" borderId="0" applyAlignment="1" pivotButton="0" quotePrefix="0" xfId="0">
      <alignment vertical="top" wrapText="1"/>
    </xf>
    <xf numFmtId="3" fontId="4" fillId="0" borderId="0" pivotButton="0" quotePrefix="0" xfId="0"/>
    <xf numFmtId="1" fontId="4" fillId="0" borderId="0" pivotButton="0" quotePrefix="0" xfId="0"/>
    <xf numFmtId="1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5" fillId="0" borderId="0" pivotButton="0" quotePrefix="0" xfId="0"/>
    <xf numFmtId="0" fontId="5" fillId="3" borderId="2" applyAlignment="1" pivotButton="0" quotePrefix="0" xfId="0">
      <alignment vertical="top" wrapText="1"/>
    </xf>
    <xf numFmtId="166" fontId="4" fillId="0" borderId="0" pivotButton="0" quotePrefix="0" xfId="0"/>
    <xf numFmtId="4" fontId="4" fillId="0" borderId="0" pivotButton="0" quotePrefix="0" xfId="0"/>
    <xf numFmtId="168" fontId="4" fillId="0" borderId="0" pivotButton="0" quotePrefix="0" xfId="0"/>
    <xf numFmtId="49" fontId="5" fillId="4" borderId="0" pivotButton="0" quotePrefix="0" xfId="0"/>
    <xf numFmtId="3" fontId="5" fillId="4" borderId="0" pivotButton="0" quotePrefix="0" xfId="0"/>
    <xf numFmtId="165" fontId="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</cols>
  <sheetData>
    <row r="1">
      <c r="A1" s="1" t="inlineStr">
        <is>
          <t>Deal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Identification</t>
        </is>
      </c>
      <c r="B5" s="4" t="n"/>
      <c r="C5" s="4" t="n"/>
    </row>
    <row r="6">
      <c r="A6" s="5" t="inlineStr">
        <is>
          <t>Deal name</t>
        </is>
      </c>
      <c r="B6" s="5" t="inlineStr">
        <is>
          <t>Fixture Park</t>
        </is>
      </c>
    </row>
    <row r="7">
      <c r="A7" s="5" t="inlineStr">
        <is>
          <t>Street address</t>
        </is>
      </c>
      <c r="B7" s="5" t="inlineStr">
        <is>
          <t>1400 Example Parkway</t>
        </is>
      </c>
    </row>
    <row r="8">
      <c r="A8" s="5" t="inlineStr">
        <is>
          <t>City</t>
        </is>
      </c>
      <c r="B8" s="5" t="inlineStr">
        <is>
          <t>Sample City</t>
        </is>
      </c>
    </row>
    <row r="9">
      <c r="A9" s="5" t="inlineStr">
        <is>
          <t>State</t>
        </is>
      </c>
      <c r="B9" s="5" t="inlineStr">
        <is>
          <t>TX</t>
        </is>
      </c>
    </row>
    <row r="10">
      <c r="A10" s="5" t="inlineStr">
        <is>
          <t>ZIP</t>
        </is>
      </c>
      <c r="B10" s="5" t="inlineStr">
        <is>
          <t>75000</t>
        </is>
      </c>
    </row>
    <row r="11">
      <c r="A11" s="5" t="inlineStr">
        <is>
          <t>County</t>
        </is>
      </c>
      <c r="B11" s="5" t="inlineStr">
        <is>
          <t>Example County</t>
        </is>
      </c>
    </row>
    <row r="12">
      <c r="A12" s="5" t="inlineStr">
        <is>
          <t>MSA</t>
        </is>
      </c>
      <c r="B12" s="5" t="inlineStr">
        <is>
          <t>Sample City MSA</t>
        </is>
      </c>
    </row>
    <row r="13">
      <c r="A13" s="5" t="inlineStr">
        <is>
          <t>Address resolved from</t>
        </is>
      </c>
      <c r="B13" s="5" t="inlineStr">
        <is>
          <t>Street address read from the synthetic marketing package; city/state/ZIP confirmed against the same document.</t>
        </is>
      </c>
      <c r="C13" s="6" t="inlineStr">
        <is>
          <t>How the address was resolved, and from which document.</t>
        </is>
      </c>
    </row>
    <row r="15">
      <c r="A15" s="4" t="inlineStr">
        <is>
          <t>Property</t>
        </is>
      </c>
      <c r="B15" s="4" t="n"/>
      <c r="C15" s="4" t="n"/>
    </row>
    <row r="16">
      <c r="A16" s="5" t="inlineStr">
        <is>
          <t>Product type</t>
        </is>
      </c>
      <c r="B16" s="5" t="inlineStr">
        <is>
          <t>MF</t>
        </is>
      </c>
    </row>
    <row r="17">
      <c r="A17" s="5" t="inlineStr">
        <is>
          <t>Structure</t>
        </is>
      </c>
      <c r="B17" s="5" t="inlineStr">
        <is>
          <t>Three-story garden, surface parked</t>
        </is>
      </c>
    </row>
    <row r="18">
      <c r="A18" s="5" t="inlineStr">
        <is>
          <t>Unit count</t>
        </is>
      </c>
      <c r="B18" s="7" t="n">
        <v>180</v>
      </c>
      <c r="C18" s="6" t="inlineStr">
        <is>
          <t>Divisor for every per-unit figure in the output set.</t>
        </is>
      </c>
    </row>
    <row r="19">
      <c r="A19" s="5" t="inlineStr">
        <is>
          <t>Year built</t>
        </is>
      </c>
      <c r="B19" s="8" t="n">
        <v>2019</v>
      </c>
    </row>
    <row r="20">
      <c r="A20" s="5" t="inlineStr">
        <is>
          <t>Product detail</t>
        </is>
      </c>
      <c r="B20" s="5" t="inlineStr">
        <is>
          <t>180 units across six plans: 62 one-bedroom (720–795 SF), 78 two-bedroom (1,050–1,140 SF), 26 three-bedroom flats (1,380 SF), 14 three-bedroom townhomes (1,620 SF). Washer/dryer in unit; detached garages on 24 units.</t>
        </is>
      </c>
    </row>
    <row r="21">
      <c r="A21" s="5" t="inlineStr">
        <is>
          <t>Construction status</t>
        </is>
      </c>
      <c r="B21" s="5" t="inlineStr">
        <is>
          <t>Stabilized</t>
        </is>
      </c>
    </row>
    <row r="22">
      <c r="A22" s="5" t="inlineStr">
        <is>
          <t>Delivery / CO date</t>
        </is>
      </c>
      <c r="B22" s="5" t="inlineStr">
        <is>
          <t>Delivered 2019; fully stabilized since 2021</t>
        </is>
      </c>
    </row>
    <row r="24">
      <c r="A24" s="4" t="inlineStr">
        <is>
          <t>Parties</t>
        </is>
      </c>
      <c r="B24" s="4" t="n"/>
      <c r="C24" s="4" t="n"/>
    </row>
    <row r="25">
      <c r="A25" s="5" t="inlineStr">
        <is>
          <t>Seller entity</t>
        </is>
      </c>
      <c r="B25" s="5" t="inlineStr">
        <is>
          <t>Sample City Residential Holdings LLC</t>
        </is>
      </c>
    </row>
    <row r="26">
      <c r="A26" s="5" t="inlineStr">
        <is>
          <t>Listing brokerage</t>
        </is>
      </c>
      <c r="B26" s="5" t="inlineStr">
        <is>
          <t>Listing brokerage</t>
        </is>
      </c>
    </row>
    <row r="27">
      <c r="A27" s="5" t="inlineStr">
        <is>
          <t>Deal status</t>
        </is>
      </c>
      <c r="B27" s="5" t="inlineStr">
        <is>
          <t>On the market</t>
        </is>
      </c>
    </row>
    <row r="29">
      <c r="A29" s="4" t="inlineStr">
        <is>
          <t>Pricing (illustrative)</t>
        </is>
      </c>
      <c r="B29" s="4" t="n"/>
      <c r="C29" s="4" t="n"/>
    </row>
    <row r="30">
      <c r="A30" s="5" t="inlineStr">
        <is>
          <t>Pricing guidance</t>
        </is>
      </c>
      <c r="B30" s="5" t="inlineStr">
        <is>
          <t>$215,000 per unit (illustrative)</t>
        </is>
      </c>
    </row>
    <row r="31">
      <c r="A31" s="5" t="inlineStr">
        <is>
          <t>Price per unit (illustrative)</t>
        </is>
      </c>
      <c r="B31" s="7" t="n">
        <v>215000</v>
      </c>
      <c r="C31" s="6" t="inlineStr">
        <is>
          <t>Every price and cap rate below is illustrative. The per-unit price is a round number chosen to sit inside the band a real per-unit sale price occupies; it is not a quote, an offer, or a broker's guidance.</t>
        </is>
      </c>
    </row>
    <row r="32">
      <c r="A32" s="5" t="inlineStr">
        <is>
          <t>Total price (illustrative)</t>
        </is>
      </c>
      <c r="B32" s="7">
        <f>B31*B18</f>
        <v/>
      </c>
      <c r="C32" s="6" t="inlineStr">
        <is>
          <t>Price per unit times unit count.</t>
        </is>
      </c>
    </row>
    <row r="33">
      <c r="A33" s="5" t="inlineStr">
        <is>
          <t>Approximate project value (illustrative)</t>
        </is>
      </c>
      <c r="B33" s="7">
        <f>B32</f>
        <v/>
      </c>
    </row>
    <row r="34">
      <c r="A34" s="5" t="inlineStr">
        <is>
          <t>T-12 net operating income</t>
        </is>
      </c>
      <c r="B34" s="7" t="n">
        <v>2126461.64</v>
      </c>
      <c r="C34" s="6" t="inlineStr">
        <is>
          <t>From the T-12 analysis workbook's P&amp;L rollup.</t>
        </is>
      </c>
    </row>
    <row r="35">
      <c r="A35" s="5" t="inlineStr">
        <is>
          <t>T-12 cap rate (illustrative)</t>
        </is>
      </c>
      <c r="B35" s="9">
        <f>IFERROR(B34/B32,"")</f>
        <v/>
      </c>
    </row>
    <row r="36">
      <c r="A36" s="5" t="inlineStr">
        <is>
          <t>T-3 net operating income (annualized)</t>
        </is>
      </c>
      <c r="B36" s="7" t="n">
        <v>2178700.48</v>
      </c>
      <c r="C36" s="6" t="inlineStr">
        <is>
          <t>Trailing three months times four.</t>
        </is>
      </c>
    </row>
    <row r="37">
      <c r="A37" s="5" t="inlineStr">
        <is>
          <t>T-3 cap rate (illustrative)</t>
        </is>
      </c>
      <c r="B37" s="9">
        <f>IFERROR(B36/B32,"")</f>
        <v/>
      </c>
    </row>
    <row r="39">
      <c r="A39" s="4" t="inlineStr">
        <is>
          <t>Rents</t>
        </is>
      </c>
      <c r="B39" s="4" t="n"/>
      <c r="C39" s="4" t="n"/>
    </row>
    <row r="40">
      <c r="A40" s="5" t="inlineStr">
        <is>
          <t>In-place rent (avg)</t>
        </is>
      </c>
      <c r="B40" s="7" t="n">
        <v>1795.36</v>
      </c>
    </row>
    <row r="41">
      <c r="A41" s="5" t="inlineStr">
        <is>
          <t>Market rent for model</t>
        </is>
      </c>
      <c r="B41" s="7" t="n">
        <v>1834.78</v>
      </c>
      <c r="C41" s="6" t="inlineStr">
        <is>
          <t>New-lease average where the plan has new leases in the lookback window, otherwise in-place. Never a blend of new and renewal.</t>
        </is>
      </c>
    </row>
    <row r="42">
      <c r="A42" s="5" t="inlineStr">
        <is>
          <t>Fair market value</t>
        </is>
      </c>
      <c r="B42" s="7" t="n">
        <v>39600000</v>
      </c>
    </row>
    <row r="44">
      <c r="A44" s="4" t="inlineStr">
        <is>
          <t>Taxes</t>
        </is>
      </c>
      <c r="B44" s="4" t="n"/>
      <c r="C44" s="4" t="n"/>
    </row>
    <row r="45">
      <c r="A45" s="5" t="inlineStr">
        <is>
          <t>Tax rate as billed</t>
        </is>
      </c>
      <c r="B45" s="10" t="n">
        <v>2.148</v>
      </c>
      <c r="C45" s="6" t="inlineStr">
        <is>
          <t>Rate as actually billed — not a statutory or effective rate.</t>
        </is>
      </c>
    </row>
    <row r="46">
      <c r="A46" s="5" t="inlineStr">
        <is>
          <t>Assessed value basis</t>
        </is>
      </c>
      <c r="B46" s="7" t="n">
        <v>23000000</v>
      </c>
    </row>
    <row r="47">
      <c r="A47" s="5" t="inlineStr">
        <is>
          <t>Assessment ratio</t>
        </is>
      </c>
      <c r="B47" s="11" t="n">
        <v>1</v>
      </c>
    </row>
    <row r="48">
      <c r="A48" s="5" t="inlineStr">
        <is>
          <t>Tax divisor</t>
        </is>
      </c>
      <c r="B48" s="7" t="n">
        <v>100</v>
      </c>
    </row>
    <row r="49">
      <c r="A49" s="5" t="inlineStr">
        <is>
          <t>Tax exemption</t>
        </is>
      </c>
      <c r="B49" s="7" t="n">
        <v>0</v>
      </c>
    </row>
    <row r="50">
      <c r="A50" s="5" t="inlineStr">
        <is>
          <t>Computed annual tax</t>
        </is>
      </c>
      <c r="B50" s="7">
        <f>IFERROR(B46*B47/B48*B45-B49,"MISSING")</f>
        <v/>
      </c>
      <c r="C50" s="6" t="inlineStr">
        <is>
          <t>Rate as billed, 2.148 per $100 of assessed value, read from the synthetic county bill for the 2025 tax year.</t>
        </is>
      </c>
    </row>
    <row r="51">
      <c r="A51" s="5" t="inlineStr">
        <is>
          <t>Computed tax per unit</t>
        </is>
      </c>
      <c r="B51" s="7">
        <f>IFERROR(B50/B18,"MISSING")</f>
        <v/>
      </c>
    </row>
    <row r="53">
      <c r="A53" s="4" t="inlineStr">
        <is>
          <t>Schools</t>
        </is>
      </c>
      <c r="B53" s="4" t="n"/>
      <c r="C53" s="4" t="n"/>
    </row>
    <row r="54">
      <c r="A54" s="5" t="inlineStr">
        <is>
          <t>Elementary school</t>
        </is>
      </c>
      <c r="B54" s="5" t="inlineStr">
        <is>
          <t>Example Creek Elementary</t>
        </is>
      </c>
    </row>
    <row r="55">
      <c r="A55" s="5" t="inlineStr">
        <is>
          <t>Elementary rating</t>
        </is>
      </c>
      <c r="B55" s="8" t="n">
        <v>7</v>
      </c>
    </row>
    <row r="56">
      <c r="A56" s="5" t="inlineStr">
        <is>
          <t>Middle school</t>
        </is>
      </c>
      <c r="B56" s="5" t="inlineStr">
        <is>
          <t>Example Ridge Middle</t>
        </is>
      </c>
    </row>
    <row r="57">
      <c r="A57" s="5" t="inlineStr">
        <is>
          <t>Middle rating</t>
        </is>
      </c>
      <c r="B57" s="8" t="n">
        <v>6</v>
      </c>
    </row>
    <row r="58">
      <c r="A58" s="5" t="inlineStr">
        <is>
          <t>High school</t>
        </is>
      </c>
      <c r="B58" s="5" t="inlineStr">
        <is>
          <t>Sample City High</t>
        </is>
      </c>
    </row>
    <row r="59">
      <c r="A59" s="5" t="inlineStr">
        <is>
          <t>High rating</t>
        </is>
      </c>
      <c r="B59" s="8" t="n">
        <v>7</v>
      </c>
    </row>
    <row r="61">
      <c r="A61" s="4" t="inlineStr">
        <is>
          <t>Notes</t>
        </is>
      </c>
      <c r="B61" s="4" t="n"/>
      <c r="C61" s="4" t="n"/>
    </row>
    <row r="62">
      <c r="A62" s="5" t="inlineStr">
        <is>
          <t>Notes</t>
        </is>
      </c>
      <c r="B62" s="5" t="inlineStr">
        <is>
          <t>Synthetic deal built to exercise the output formats. Pricing is illustrative and no licensed data source was used. Comps come only from an operator's own weekly rent scrape.</t>
        </is>
      </c>
    </row>
    <row r="64">
      <c r="A64" s="4" t="inlineStr">
        <is>
          <t>Boundaries</t>
        </is>
      </c>
      <c r="B64" s="4" t="n"/>
      <c r="C64" s="4" t="n"/>
    </row>
    <row r="65">
      <c r="A65" s="12" t="inlineStr">
        <is>
          <t>Excluded by design</t>
        </is>
      </c>
      <c r="B65" t="inlineStr">
        <is>
          <t>Third-party licensed rent-comp feeds</t>
        </is>
      </c>
    </row>
    <row r="66">
      <c r="A66" s="12" t="inlineStr">
        <is>
          <t>Excluded by design</t>
        </is>
      </c>
      <c r="B66" t="inlineStr">
        <is>
          <t>Subscription market-data providers</t>
        </is>
      </c>
    </row>
    <row r="67">
      <c r="A67" s="12" t="inlineStr">
        <is>
          <t>Excluded by design</t>
        </is>
      </c>
      <c r="B67" t="inlineStr">
        <is>
          <t>Any employer-owned deal data or template</t>
        </is>
      </c>
    </row>
    <row r="68">
      <c r="A68" s="12" t="inlineStr">
        <is>
          <t>Synthetic deal</t>
        </is>
      </c>
      <c r="B68" t="inlineStr">
        <is>
          <t>Every figure is fabricated for demonstration. No real property is described.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42" customWidth="1" min="3" max="3"/>
    <col width="10" customWidth="1" min="4" max="4"/>
    <col width="10" customWidth="1" min="5" max="5"/>
    <col width="10" customWidth="1" min="6" max="6"/>
    <col width="13" customWidth="1" min="7" max="7"/>
    <col width="12" customWidth="1" min="8" max="8"/>
    <col width="20" customWidth="1" min="9" max="9"/>
    <col width="22" customWidth="1" min="10" max="10"/>
    <col width="11" customWidth="1" min="11" max="11"/>
    <col width="12" customWidth="1" min="12" max="12"/>
    <col width="19" customWidth="1" min="13" max="13"/>
  </cols>
  <sheetData>
    <row r="1">
      <c r="A1" s="1" t="inlineStr">
        <is>
          <t>Rent comps</t>
        </is>
      </c>
    </row>
    <row r="2">
      <c r="A2" s="2" t="inlineStr">
        <is>
          <t>Fixture Park — as of 2026-06-22</t>
        </is>
      </c>
    </row>
    <row r="3">
      <c r="A3" s="2" t="inlineStr">
        <is>
          <t>Source: the operator's own weekly rent scrape. Asking and net effective are stated separately on every row — a concession-blind comp set is the most common way a rent assumption goes wrong. No licensed comp feed is used.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3" t="inlineStr">
        <is>
          <t>Community</t>
        </is>
      </c>
      <c r="B5" s="13" t="inlineStr">
        <is>
          <t>Distance (mi)</t>
        </is>
      </c>
      <c r="C5" s="13" t="inlineStr">
        <is>
          <t>Floor plan</t>
        </is>
      </c>
      <c r="D5" s="13" t="inlineStr">
        <is>
          <t>Beds</t>
        </is>
      </c>
      <c r="E5" s="13" t="inlineStr">
        <is>
          <t>Baths</t>
        </is>
      </c>
      <c r="F5" s="13" t="inlineStr">
        <is>
          <t>SF</t>
        </is>
      </c>
      <c r="G5" s="13" t="inlineStr">
        <is>
          <t>Asking rent</t>
        </is>
      </c>
      <c r="H5" s="13" t="inlineStr">
        <is>
          <t>Concession</t>
        </is>
      </c>
      <c r="I5" s="13" t="inlineStr">
        <is>
          <t>Net effective rent</t>
        </is>
      </c>
      <c r="J5" s="13" t="inlineStr">
        <is>
          <t>Asking $/SF</t>
        </is>
      </c>
      <c r="K5" s="13" t="inlineStr">
        <is>
          <t>Occupancy</t>
        </is>
      </c>
      <c r="L5" s="13" t="inlineStr">
        <is>
          <t>As-of date</t>
        </is>
      </c>
      <c r="M5" s="13" t="inlineStr">
        <is>
          <t>Source</t>
        </is>
      </c>
    </row>
    <row r="6">
      <c r="A6" s="5" t="inlineStr">
        <is>
          <t>Alderwood Crossing</t>
        </is>
      </c>
      <c r="B6" s="10" t="n">
        <v>0.7</v>
      </c>
      <c r="C6" s="5" t="inlineStr">
        <is>
          <t>1BR-A</t>
        </is>
      </c>
      <c r="D6" s="14" t="n">
        <v>1</v>
      </c>
      <c r="E6" s="14" t="n">
        <v>1</v>
      </c>
      <c r="F6" s="7" t="n">
        <v>735</v>
      </c>
      <c r="G6" s="7" t="n">
        <v>1495</v>
      </c>
      <c r="H6" s="7" t="n">
        <v>45</v>
      </c>
      <c r="I6" s="7" t="n">
        <v>1450</v>
      </c>
      <c r="J6" s="15">
        <f>IFERROR(G6/F6,"")</f>
        <v/>
      </c>
      <c r="K6" s="11" t="n">
        <v>0.9399999999999999</v>
      </c>
      <c r="L6" s="16" t="n">
        <v>46195</v>
      </c>
      <c r="M6" s="5" t="inlineStr">
        <is>
          <t>own weekly scrape</t>
        </is>
      </c>
    </row>
    <row r="7">
      <c r="A7" s="5" t="inlineStr">
        <is>
          <t>Alderwood Crossing</t>
        </is>
      </c>
      <c r="B7" s="10" t="n">
        <v>0.7</v>
      </c>
      <c r="C7" s="5" t="inlineStr">
        <is>
          <t>2BR-B</t>
        </is>
      </c>
      <c r="D7" s="14" t="n">
        <v>2</v>
      </c>
      <c r="E7" s="14" t="n">
        <v>2</v>
      </c>
      <c r="F7" s="7" t="n">
        <v>1075</v>
      </c>
      <c r="G7" s="7" t="n">
        <v>1835</v>
      </c>
      <c r="H7" s="7" t="n">
        <v>60</v>
      </c>
      <c r="I7" s="7" t="n">
        <v>1775</v>
      </c>
      <c r="J7" s="15">
        <f>IFERROR(G7/F7,"")</f>
        <v/>
      </c>
      <c r="K7" s="11" t="n">
        <v>0.9399999999999999</v>
      </c>
      <c r="L7" s="16" t="n">
        <v>46195</v>
      </c>
      <c r="M7" s="5" t="inlineStr">
        <is>
          <t>own weekly scrape</t>
        </is>
      </c>
    </row>
    <row r="8">
      <c r="A8" s="5" t="inlineStr">
        <is>
          <t>Sable Point</t>
        </is>
      </c>
      <c r="B8" s="10" t="n">
        <v>1.4</v>
      </c>
      <c r="C8" s="5" t="inlineStr">
        <is>
          <t>A1</t>
        </is>
      </c>
      <c r="D8" s="14" t="n">
        <v>1</v>
      </c>
      <c r="E8" s="14" t="n">
        <v>1</v>
      </c>
      <c r="F8" s="7" t="n">
        <v>700</v>
      </c>
      <c r="G8" s="7" t="n">
        <v>1440</v>
      </c>
      <c r="H8" s="7" t="n">
        <v>0</v>
      </c>
      <c r="I8" s="7" t="n">
        <v>1440</v>
      </c>
      <c r="J8" s="15">
        <f>IFERROR(G8/F8,"")</f>
        <v/>
      </c>
      <c r="K8" s="11" t="n">
        <v>0.96</v>
      </c>
      <c r="L8" s="16" t="n">
        <v>46195</v>
      </c>
      <c r="M8" s="5" t="inlineStr">
        <is>
          <t>own weekly scrape</t>
        </is>
      </c>
    </row>
    <row r="9">
      <c r="A9" s="5" t="inlineStr">
        <is>
          <t>Sable Point</t>
        </is>
      </c>
      <c r="B9" s="10" t="n">
        <v>1.4</v>
      </c>
      <c r="C9" s="5" t="inlineStr">
        <is>
          <t>B2</t>
        </is>
      </c>
      <c r="D9" s="14" t="n">
        <v>2</v>
      </c>
      <c r="E9" s="14" t="n">
        <v>2</v>
      </c>
      <c r="F9" s="7" t="n">
        <v>1100</v>
      </c>
      <c r="G9" s="7" t="n">
        <v>1795</v>
      </c>
      <c r="H9" s="7" t="n">
        <v>75</v>
      </c>
      <c r="I9" s="7" t="n">
        <v>1720</v>
      </c>
      <c r="J9" s="15">
        <f>IFERROR(G9/F9,"")</f>
        <v/>
      </c>
      <c r="K9" s="11" t="n">
        <v>0.9399999999999999</v>
      </c>
      <c r="L9" s="16" t="n">
        <v>46195</v>
      </c>
      <c r="M9" s="5" t="inlineStr">
        <is>
          <t>own weekly scrape</t>
        </is>
      </c>
    </row>
    <row r="10">
      <c r="A10" s="5" t="inlineStr">
        <is>
          <t>Sable Point</t>
        </is>
      </c>
      <c r="B10" s="10" t="n">
        <v>1.4</v>
      </c>
      <c r="C10" s="5" t="inlineStr">
        <is>
          <t>C1</t>
        </is>
      </c>
      <c r="D10" s="14" t="n">
        <v>3</v>
      </c>
      <c r="E10" s="14" t="n">
        <v>2</v>
      </c>
      <c r="F10" s="7" t="n">
        <v>1355</v>
      </c>
      <c r="G10" s="7" t="n">
        <v>2140</v>
      </c>
      <c r="H10" s="7" t="n">
        <v>0</v>
      </c>
      <c r="I10" s="7" t="n">
        <v>2140</v>
      </c>
      <c r="J10" s="15">
        <f>IFERROR(G10/F10,"")</f>
        <v/>
      </c>
      <c r="K10" s="11" t="n">
        <v>0.96</v>
      </c>
      <c r="L10" s="16" t="n">
        <v>46195</v>
      </c>
      <c r="M10" s="5" t="inlineStr">
        <is>
          <t>own weekly scrape</t>
        </is>
      </c>
    </row>
    <row r="11">
      <c r="A11" s="5" t="inlineStr">
        <is>
          <t>Harper Station</t>
        </is>
      </c>
      <c r="B11" s="10" t="n">
        <v>2.2</v>
      </c>
      <c r="C11" s="5" t="inlineStr">
        <is>
          <t>Aspen</t>
        </is>
      </c>
      <c r="D11" s="14" t="n">
        <v>1</v>
      </c>
      <c r="E11" s="14" t="n">
        <v>1</v>
      </c>
      <c r="F11" s="7" t="n">
        <v>760</v>
      </c>
      <c r="G11" s="7" t="n">
        <v>1520</v>
      </c>
      <c r="H11" s="7" t="n">
        <v>90</v>
      </c>
      <c r="I11" s="7" t="n">
        <v>1430</v>
      </c>
      <c r="J11" s="15">
        <f>IFERROR(G11/F11,"")</f>
        <v/>
      </c>
      <c r="K11" s="11" t="n">
        <v>0.9399999999999999</v>
      </c>
      <c r="L11" s="16" t="n">
        <v>46195</v>
      </c>
      <c r="M11" s="5" t="inlineStr">
        <is>
          <t>own weekly scrape</t>
        </is>
      </c>
    </row>
    <row r="12">
      <c r="A12" s="5" t="inlineStr">
        <is>
          <t>Harper Station</t>
        </is>
      </c>
      <c r="B12" s="10" t="n">
        <v>2.2</v>
      </c>
      <c r="C12" s="5" t="inlineStr">
        <is>
          <t>Birch</t>
        </is>
      </c>
      <c r="D12" s="14" t="n">
        <v>2</v>
      </c>
      <c r="E12" s="14" t="n">
        <v>2</v>
      </c>
      <c r="F12" s="7" t="n">
        <v>1130</v>
      </c>
      <c r="G12" s="7" t="n">
        <v>1880</v>
      </c>
      <c r="H12" s="7" t="n">
        <v>90</v>
      </c>
      <c r="I12" s="7" t="n">
        <v>1790</v>
      </c>
      <c r="J12" s="15">
        <f>IFERROR(G12/F12,"")</f>
        <v/>
      </c>
      <c r="K12" s="11" t="n">
        <v>0.9399999999999999</v>
      </c>
      <c r="L12" s="16" t="n">
        <v>46195</v>
      </c>
      <c r="M12" s="5" t="inlineStr">
        <is>
          <t>own weekly scrape</t>
        </is>
      </c>
    </row>
    <row r="13">
      <c r="A13" s="5" t="inlineStr">
        <is>
          <t>Kestrel Ridge</t>
        </is>
      </c>
      <c r="B13" s="10" t="n">
        <v>3.1</v>
      </c>
      <c r="C13" s="5" t="inlineStr">
        <is>
          <t>One Bed</t>
        </is>
      </c>
      <c r="D13" s="14" t="n">
        <v>1</v>
      </c>
      <c r="E13" s="14" t="n">
        <v>1</v>
      </c>
      <c r="F13" s="7" t="n">
        <v>715</v>
      </c>
      <c r="G13" s="7" t="n">
        <v>1465</v>
      </c>
      <c r="H13" s="7" t="n">
        <v>0</v>
      </c>
      <c r="I13" s="7" t="n">
        <v>1465</v>
      </c>
      <c r="J13" s="15">
        <f>IFERROR(G13/F13,"")</f>
        <v/>
      </c>
      <c r="K13" s="11" t="n">
        <v>0.96</v>
      </c>
      <c r="L13" s="16" t="n">
        <v>46195</v>
      </c>
      <c r="M13" s="5" t="inlineStr">
        <is>
          <t>own weekly scrape</t>
        </is>
      </c>
    </row>
    <row r="14">
      <c r="A14" s="5" t="inlineStr">
        <is>
          <t>Kestrel Ridge</t>
        </is>
      </c>
      <c r="B14" s="10" t="n">
        <v>3.1</v>
      </c>
      <c r="C14" s="5" t="inlineStr">
        <is>
          <t>Two Bed</t>
        </is>
      </c>
      <c r="D14" s="14" t="n">
        <v>2</v>
      </c>
      <c r="E14" s="14" t="n">
        <v>2.5</v>
      </c>
      <c r="F14" s="7" t="n">
        <v>1180</v>
      </c>
      <c r="G14" s="7" t="n">
        <v>1910</v>
      </c>
      <c r="H14" s="7" t="n">
        <v>50</v>
      </c>
      <c r="I14" s="7" t="n">
        <v>1860</v>
      </c>
      <c r="J14" s="15">
        <f>IFERROR(G14/F14,"")</f>
        <v/>
      </c>
      <c r="K14" s="11" t="n">
        <v>0.9399999999999999</v>
      </c>
      <c r="L14" s="16" t="n">
        <v>46195</v>
      </c>
      <c r="M14" s="5" t="inlineStr">
        <is>
          <t>own weekly scrape</t>
        </is>
      </c>
    </row>
    <row r="15">
      <c r="A15" s="5" t="inlineStr">
        <is>
          <t>Kestrel Ridge</t>
        </is>
      </c>
      <c r="B15" s="10" t="n">
        <v>3.1</v>
      </c>
      <c r="C15" s="5" t="inlineStr">
        <is>
          <t>Three Bed</t>
        </is>
      </c>
      <c r="D15" s="14" t="n">
        <v>3</v>
      </c>
      <c r="E15" s="14" t="n">
        <v>2.5</v>
      </c>
      <c r="F15" s="7" t="n">
        <v>1600</v>
      </c>
      <c r="G15" s="7" t="n">
        <v>2385</v>
      </c>
      <c r="H15" s="7" t="n">
        <v>0</v>
      </c>
      <c r="I15" s="7" t="n">
        <v>2385</v>
      </c>
      <c r="J15" s="15">
        <f>IFERROR(G15/F15,"")</f>
        <v/>
      </c>
      <c r="K15" s="11" t="n">
        <v>0.96</v>
      </c>
      <c r="L15" s="16" t="n">
        <v>46195</v>
      </c>
      <c r="M15" s="5" t="inlineStr">
        <is>
          <t>own weekly scrape</t>
        </is>
      </c>
    </row>
    <row r="16"/>
    <row r="17">
      <c r="A17" s="4" t="inlineStr">
        <is>
          <t>Subject versus comp set</t>
        </is>
      </c>
      <c r="B17" s="4" t="n"/>
      <c r="C17" s="4" t="n"/>
    </row>
    <row r="18">
      <c r="A18" s="5" t="inlineStr">
        <is>
          <t>Subject market rent</t>
        </is>
      </c>
      <c r="B18" s="7" t="n">
        <v>1834.78</v>
      </c>
      <c r="C18" s="6" t="inlineStr">
        <is>
          <t>Unit-weighted market rent for model, from the rent-roll analysis.</t>
        </is>
      </c>
    </row>
    <row r="19">
      <c r="A19" s="5" t="inlineStr">
        <is>
          <t>Comp-set average asking</t>
        </is>
      </c>
      <c r="B19" s="7">
        <f>IFERROR(AVERAGE(G6:G15),"")</f>
        <v/>
      </c>
    </row>
    <row r="20">
      <c r="A20" s="5" t="inlineStr">
        <is>
          <t>Comp-set average net effective</t>
        </is>
      </c>
      <c r="B20" s="7">
        <f>IFERROR(AVERAGE(I6:I15),"")</f>
        <v/>
      </c>
    </row>
    <row r="21">
      <c r="A21" s="5" t="inlineStr">
        <is>
          <t>Subject vs comp-set net effective</t>
        </is>
      </c>
      <c r="B21" s="11">
        <f>IFERROR(B18/B20-1,"")</f>
        <v/>
      </c>
      <c r="C21" s="6" t="inlineStr">
        <is>
          <t>Positive means the subject is underwritten above the comp set.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25" customWidth="1" min="4" max="4"/>
    <col width="12" customWidth="1" min="5" max="5"/>
    <col width="26" customWidth="1" min="6" max="6"/>
    <col width="14" customWidth="1" min="7" max="7"/>
  </cols>
  <sheetData>
    <row r="1">
      <c r="A1" s="1" t="inlineStr">
        <is>
          <t>Demand</t>
        </is>
      </c>
    </row>
    <row r="2">
      <c r="A2" s="2" t="inlineStr">
        <is>
          <t>Fixture Park — as of 2026-06-30</t>
        </is>
      </c>
    </row>
    <row r="3">
      <c r="A3" s="2" t="inlineStr">
        <is>
          <t>Summary table by drive-ring. Public demographic data.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3" t="inlineStr">
        <is>
          <t>Ring</t>
        </is>
      </c>
      <c r="B5" s="13" t="inlineStr">
        <is>
          <t>Population</t>
        </is>
      </c>
      <c r="C5" s="13" t="inlineStr">
        <is>
          <t>Households</t>
        </is>
      </c>
      <c r="D5" s="13" t="inlineStr">
        <is>
          <t>Median household income</t>
        </is>
      </c>
      <c r="E5" s="13" t="inlineStr">
        <is>
          <t>Total jobs</t>
        </is>
      </c>
      <c r="F5" s="13" t="inlineStr">
        <is>
          <t>Population growth (5-yr)</t>
        </is>
      </c>
      <c r="G5" s="13" t="inlineStr">
        <is>
          <t>Renter share</t>
        </is>
      </c>
    </row>
    <row r="6">
      <c r="A6" s="5" t="inlineStr">
        <is>
          <t>1 mi</t>
        </is>
      </c>
      <c r="B6" s="7" t="n">
        <v>9840</v>
      </c>
      <c r="C6" s="7" t="n">
        <v>4020</v>
      </c>
      <c r="D6" s="7" t="n">
        <v>78400</v>
      </c>
      <c r="E6" s="7" t="n">
        <v>3150</v>
      </c>
      <c r="F6" s="11" t="n">
        <v>0.061</v>
      </c>
      <c r="G6" s="11" t="n">
        <v>0.44</v>
      </c>
    </row>
    <row r="7">
      <c r="A7" s="5" t="inlineStr">
        <is>
          <t>3 mi</t>
        </is>
      </c>
      <c r="B7" s="7" t="n">
        <v>61250</v>
      </c>
      <c r="C7" s="7" t="n">
        <v>24100</v>
      </c>
      <c r="D7" s="7" t="n">
        <v>84900</v>
      </c>
      <c r="E7" s="7" t="n">
        <v>27400</v>
      </c>
      <c r="F7" s="11" t="n">
        <v>0.078</v>
      </c>
      <c r="G7" s="11" t="n">
        <v>0.39</v>
      </c>
    </row>
    <row r="8">
      <c r="A8" s="5" t="inlineStr">
        <is>
          <t>5 mi</t>
        </is>
      </c>
      <c r="B8" s="7" t="n">
        <v>148300</v>
      </c>
      <c r="C8" s="7" t="n">
        <v>57600</v>
      </c>
      <c r="D8" s="7" t="n">
        <v>89200</v>
      </c>
      <c r="E8" s="7" t="n">
        <v>71800</v>
      </c>
      <c r="F8" s="11" t="n">
        <v>0.08400000000000001</v>
      </c>
      <c r="G8" s="11" t="n">
        <v>0.36</v>
      </c>
    </row>
    <row r="9">
      <c r="A9" s="5" t="inlineStr">
        <is>
          <t>10 mi</t>
        </is>
      </c>
      <c r="B9" s="7" t="n">
        <v>402700</v>
      </c>
      <c r="C9" s="7" t="n">
        <v>154900</v>
      </c>
      <c r="D9" s="7" t="n">
        <v>92600</v>
      </c>
      <c r="E9" s="7" t="n">
        <v>214500</v>
      </c>
      <c r="F9" s="11" t="n">
        <v>0.091</v>
      </c>
      <c r="G9" s="11" t="n">
        <v>0.34</v>
      </c>
    </row>
    <row r="10">
      <c r="A10" s="17" t="inlineStr">
        <is>
          <t>MSA</t>
        </is>
      </c>
      <c r="B10" s="18" t="n">
        <v>2418000</v>
      </c>
      <c r="C10" s="18" t="n">
        <v>903400</v>
      </c>
      <c r="D10" s="18" t="n">
        <v>86100</v>
      </c>
      <c r="E10" s="18" t="n">
        <v>1284000</v>
      </c>
      <c r="F10" s="19" t="n">
        <v>0.073</v>
      </c>
      <c r="G10" s="19" t="n">
        <v>0.37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6" customWidth="1" min="2" max="2"/>
    <col width="16" customWidth="1" min="3" max="3"/>
    <col width="22" customWidth="1" min="4" max="4"/>
  </cols>
  <sheetData>
    <row r="1">
      <c r="A1" s="1" t="inlineStr">
        <is>
          <t>Competing supply</t>
        </is>
      </c>
    </row>
    <row r="2">
      <c r="A2" s="2" t="inlineStr">
        <is>
          <t>Fixture Park — as of 2026-06-30</t>
        </is>
      </c>
    </row>
    <row r="3">
      <c r="A3" s="2" t="inlineStr">
        <is>
          <t>Pipeline projects by ring and stage. Stage is stated because entitled units and delivered units are not the same risk. Public permit records.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3" t="inlineStr">
        <is>
          <t>Ring</t>
        </is>
      </c>
      <c r="B5" s="13" t="inlineStr">
        <is>
          <t>Stage</t>
        </is>
      </c>
      <c r="C5" s="13" t="inlineStr">
        <is>
          <t>Projects</t>
        </is>
      </c>
      <c r="D5" s="13" t="inlineStr">
        <is>
          <t>Units</t>
        </is>
      </c>
    </row>
    <row r="6">
      <c r="A6" s="5" t="inlineStr">
        <is>
          <t>1 mi</t>
        </is>
      </c>
      <c r="B6" s="5" t="inlineStr">
        <is>
          <t>Entitlement</t>
        </is>
      </c>
      <c r="C6" s="7" t="n">
        <v>1</v>
      </c>
      <c r="D6" s="7" t="n">
        <v>220</v>
      </c>
    </row>
    <row r="7">
      <c r="A7" s="5" t="inlineStr">
        <is>
          <t>1 mi</t>
        </is>
      </c>
      <c r="B7" s="5" t="inlineStr">
        <is>
          <t>Permitted</t>
        </is>
      </c>
      <c r="C7" s="7" t="n">
        <v>1</v>
      </c>
      <c r="D7" s="7" t="n">
        <v>148</v>
      </c>
    </row>
    <row r="8">
      <c r="A8" s="5" t="inlineStr">
        <is>
          <t>1 mi</t>
        </is>
      </c>
      <c r="B8" s="5" t="inlineStr">
        <is>
          <t>Under construction</t>
        </is>
      </c>
      <c r="C8" s="7" t="n">
        <v>0</v>
      </c>
      <c r="D8" s="7" t="n">
        <v>0</v>
      </c>
    </row>
    <row r="9">
      <c r="A9" s="5" t="inlineStr">
        <is>
          <t>1 mi</t>
        </is>
      </c>
      <c r="B9" s="5" t="inlineStr">
        <is>
          <t>Delivered (24 mo)</t>
        </is>
      </c>
      <c r="C9" s="7" t="n">
        <v>1</v>
      </c>
      <c r="D9" s="7" t="n">
        <v>96</v>
      </c>
    </row>
    <row r="10">
      <c r="A10" s="5" t="inlineStr">
        <is>
          <t>3 mi</t>
        </is>
      </c>
      <c r="B10" s="5" t="inlineStr">
        <is>
          <t>Entitlement</t>
        </is>
      </c>
      <c r="C10" s="7" t="n">
        <v>3</v>
      </c>
      <c r="D10" s="7" t="n">
        <v>742</v>
      </c>
    </row>
    <row r="11">
      <c r="A11" s="5" t="inlineStr">
        <is>
          <t>3 mi</t>
        </is>
      </c>
      <c r="B11" s="5" t="inlineStr">
        <is>
          <t>Permitted</t>
        </is>
      </c>
      <c r="C11" s="7" t="n">
        <v>2</v>
      </c>
      <c r="D11" s="7" t="n">
        <v>410</v>
      </c>
    </row>
    <row r="12">
      <c r="A12" s="5" t="inlineStr">
        <is>
          <t>3 mi</t>
        </is>
      </c>
      <c r="B12" s="5" t="inlineStr">
        <is>
          <t>Under construction</t>
        </is>
      </c>
      <c r="C12" s="7" t="n">
        <v>2</v>
      </c>
      <c r="D12" s="7" t="n">
        <v>508</v>
      </c>
    </row>
    <row r="13">
      <c r="A13" s="5" t="inlineStr">
        <is>
          <t>3 mi</t>
        </is>
      </c>
      <c r="B13" s="5" t="inlineStr">
        <is>
          <t>Delivered (24 mo)</t>
        </is>
      </c>
      <c r="C13" s="7" t="n">
        <v>3</v>
      </c>
      <c r="D13" s="7" t="n">
        <v>624</v>
      </c>
    </row>
    <row r="14">
      <c r="A14" s="5" t="inlineStr">
        <is>
          <t>5 mi</t>
        </is>
      </c>
      <c r="B14" s="5" t="inlineStr">
        <is>
          <t>Entitlement</t>
        </is>
      </c>
      <c r="C14" s="7" t="n">
        <v>6</v>
      </c>
      <c r="D14" s="7" t="n">
        <v>1485</v>
      </c>
    </row>
    <row r="15">
      <c r="A15" s="5" t="inlineStr">
        <is>
          <t>5 mi</t>
        </is>
      </c>
      <c r="B15" s="5" t="inlineStr">
        <is>
          <t>Permitted</t>
        </is>
      </c>
      <c r="C15" s="7" t="n">
        <v>4</v>
      </c>
      <c r="D15" s="7" t="n">
        <v>903</v>
      </c>
    </row>
    <row r="16">
      <c r="A16" s="5" t="inlineStr">
        <is>
          <t>5 mi</t>
        </is>
      </c>
      <c r="B16" s="5" t="inlineStr">
        <is>
          <t>Under construction</t>
        </is>
      </c>
      <c r="C16" s="7" t="n">
        <v>5</v>
      </c>
      <c r="D16" s="7" t="n">
        <v>1240</v>
      </c>
    </row>
    <row r="17">
      <c r="A17" s="5" t="inlineStr">
        <is>
          <t>5 mi</t>
        </is>
      </c>
      <c r="B17" s="5" t="inlineStr">
        <is>
          <t>Delivered (24 mo)</t>
        </is>
      </c>
      <c r="C17" s="7" t="n">
        <v>7</v>
      </c>
      <c r="D17" s="7" t="n">
        <v>1608</v>
      </c>
    </row>
    <row r="18"/>
    <row r="19">
      <c r="A19" s="4" t="inlineStr">
        <is>
          <t>Ring totals</t>
        </is>
      </c>
      <c r="B19" s="4" t="n"/>
      <c r="C19" s="4" t="n"/>
      <c r="D19" s="4" t="n"/>
    </row>
    <row r="20">
      <c r="A20" s="13" t="inlineStr">
        <is>
          <t>Ring</t>
        </is>
      </c>
      <c r="B20" s="13" t="inlineStr">
        <is>
          <t>Pipeline units</t>
        </is>
      </c>
      <c r="C20" s="13" t="inlineStr">
        <is>
          <t>Existing stock</t>
        </is>
      </c>
      <c r="D20" s="13" t="inlineStr">
        <is>
          <t>Units as % of stock</t>
        </is>
      </c>
    </row>
    <row r="21">
      <c r="A21" s="5" t="inlineStr">
        <is>
          <t>1 mi</t>
        </is>
      </c>
      <c r="B21" s="7">
        <f>SUMIF($A$6:$A$17,$A21,$D$6:$D$17)</f>
        <v/>
      </c>
      <c r="C21" s="7" t="n">
        <v>3140</v>
      </c>
      <c r="D21" s="11">
        <f>IFERROR(B21/C21,"")</f>
        <v/>
      </c>
    </row>
    <row r="22">
      <c r="A22" s="5" t="inlineStr">
        <is>
          <t>3 mi</t>
        </is>
      </c>
      <c r="B22" s="7">
        <f>SUMIF($A$6:$A$17,$A22,$D$6:$D$17)</f>
        <v/>
      </c>
      <c r="C22" s="7" t="n">
        <v>18600</v>
      </c>
      <c r="D22" s="11">
        <f>IFERROR(B22/C22,"")</f>
        <v/>
      </c>
    </row>
    <row r="23">
      <c r="A23" s="5" t="inlineStr">
        <is>
          <t>5 mi</t>
        </is>
      </c>
      <c r="B23" s="7">
        <f>SUMIF($A$6:$A$17,$A23,$D$6:$D$17)</f>
        <v/>
      </c>
      <c r="C23" s="7" t="n">
        <v>41200</v>
      </c>
      <c r="D23" s="11">
        <f>IFERROR(B23/C23,"")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