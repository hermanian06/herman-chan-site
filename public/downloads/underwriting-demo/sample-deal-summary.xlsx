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4">
    <fill>
      <patternFill/>
    </fill>
    <fill>
      <patternFill patternType="gray125"/>
    </fill>
    <fill>
      <patternFill patternType="solid">
        <fgColor rgb="00595959"/>
      </patternFill>
    </fill>
    <fill>
      <patternFill patternType="solid">
        <fgColor rgb="00D9D9D9"/>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505 W Baseline Rd</t>
        </is>
      </c>
      <c r="D7" s="6" t="inlineStr">
        <is>
          <t>Synthetic offering memorandum — p.4</t>
        </is>
      </c>
    </row>
    <row r="8">
      <c r="A8" s="5" t="inlineStr">
        <is>
          <t>City</t>
        </is>
      </c>
      <c r="B8" s="5" t="inlineStr">
        <is>
          <t>Tempe</t>
        </is>
      </c>
      <c r="D8" s="6" t="inlineStr">
        <is>
          <t>Synthetic offering memorandum — p.4</t>
        </is>
      </c>
    </row>
    <row r="9">
      <c r="A9" s="5" t="inlineStr">
        <is>
          <t>State</t>
        </is>
      </c>
      <c r="B9" s="5" t="inlineStr">
        <is>
          <t>AZ</t>
        </is>
      </c>
      <c r="D9" s="6" t="inlineStr">
        <is>
          <t>Synthetic offering memorandum — p.4</t>
        </is>
      </c>
    </row>
    <row r="10">
      <c r="A10" s="5" t="inlineStr">
        <is>
          <t>ZIP</t>
        </is>
      </c>
      <c r="B10" s="5" t="inlineStr">
        <is>
          <t>85283</t>
        </is>
      </c>
      <c r="D10" s="6" t="inlineStr">
        <is>
          <t>Synthetic offering memorandum — p.4</t>
        </is>
      </c>
    </row>
    <row r="11">
      <c r="A11" s="5" t="inlineStr">
        <is>
          <t>County</t>
        </is>
      </c>
      <c r="B11" s="5" t="inlineStr">
        <is>
          <t>Maricopa</t>
        </is>
      </c>
      <c r="D11" s="6" t="inlineStr">
        <is>
          <t>Synthetic offering memorandum — p.4</t>
        </is>
      </c>
    </row>
    <row r="12">
      <c r="A12" s="5" t="inlineStr">
        <is>
          <t>MSA</t>
        </is>
      </c>
      <c r="B12" s="5" t="inlineStr">
        <is>
          <t>Phoenix</t>
        </is>
      </c>
      <c r="D12" s="6" t="inlineStr">
        <is>
          <t>Derived by the pipeline (derived)</t>
        </is>
      </c>
    </row>
    <row r="13">
      <c r="A13" s="5" t="inlineStr">
        <is>
          <t>Address resolved from</t>
        </is>
      </c>
      <c r="B13" s="5" t="inlineStr">
        <is>
          <t>Internal pipeline only</t>
        </is>
      </c>
      <c r="C13" s="6" t="inlineStr">
        <is>
          <t>The internal pipeline geocodes the address and records how it resolved; the demo takes the address as the memorandum states it.</t>
        </is>
      </c>
      <c r="D13" s="6" t="inlineStr">
        <is>
          <t>Internal pipeline only</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1981</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1981; stabilized (synthetic operating history)</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MISSING</t>
        </is>
      </c>
      <c r="C50" s="6" t="inlineStr">
        <is>
          <t>The parcel the bill is issued against.</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t>
        </is>
      </c>
    </row>
    <row r="54">
      <c r="A54" s="5" t="inlineStr">
        <is>
          <t>Computed tax per unit</t>
        </is>
      </c>
      <c r="B54" s="7">
        <f>IFERROR(B53/B18,"MISSING")</f>
        <v/>
      </c>
    </row>
    <row r="55">
      <c r="A55" s="5" t="inlineStr">
        <is>
          <t>Billed by the county (MISSING)</t>
        </is>
      </c>
      <c r="B55" s="5" t="inlineStr">
        <is>
          <t>MISSING</t>
        </is>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Internal pipeline only</t>
        </is>
      </c>
      <c r="C65" s="6" t="inlineStr">
        <is>
          <t>The internal pipeline looks up the attendance-zone elementary, middle and high school and their public ratings; the demo reads a school name only where the memorandum states one and never rates it.</t>
        </is>
      </c>
      <c r="D65" s="6" t="inlineStr">
        <is>
          <t>Internal pipeline only</t>
        </is>
      </c>
    </row>
    <row r="66">
      <c r="A66" s="5" t="inlineStr">
        <is>
          <t>Elementary rating</t>
        </is>
      </c>
      <c r="B66" s="5" t="inlineStr">
        <is>
          <t>Internal pipeline only</t>
        </is>
      </c>
      <c r="C66" s="6" t="inlineStr">
        <is>
          <t>The internal pipeline looks up the attendance-zone elementary, middle and high school and their public ratings; the demo reads a school name only where the memorandum states one and never rates it.</t>
        </is>
      </c>
    </row>
    <row r="67">
      <c r="A67" s="5" t="inlineStr">
        <is>
          <t>Middle school</t>
        </is>
      </c>
      <c r="B67" s="5" t="inlineStr">
        <is>
          <t>Internal pipeline only</t>
        </is>
      </c>
      <c r="C67" s="6" t="inlineStr">
        <is>
          <t>The internal pipeline looks up the attendance-zone elementary, middle and high school and their public ratings; the demo reads a school name only where the memorandum states one and never rates it.</t>
        </is>
      </c>
      <c r="D67" s="6" t="inlineStr">
        <is>
          <t>Internal pipeline only</t>
        </is>
      </c>
    </row>
    <row r="68">
      <c r="A68" s="5" t="inlineStr">
        <is>
          <t>Middle rating</t>
        </is>
      </c>
      <c r="B68" s="5" t="inlineStr">
        <is>
          <t>Internal pipeline only</t>
        </is>
      </c>
      <c r="C68" s="6" t="inlineStr">
        <is>
          <t>The internal pipeline looks up the attendance-zone elementary, middle and high school and their public ratings; the demo reads a school name only where the memorandum states one and never rates it.</t>
        </is>
      </c>
    </row>
    <row r="69">
      <c r="A69" s="5" t="inlineStr">
        <is>
          <t>High school</t>
        </is>
      </c>
      <c r="B69" s="5" t="inlineStr">
        <is>
          <t>Internal pipeline only</t>
        </is>
      </c>
      <c r="C69" s="6" t="inlineStr">
        <is>
          <t>The internal pipeline looks up the attendance-zone elementary, middle and high school and their public ratings; the demo reads a school name only where the memorandum states one and never rates it.</t>
        </is>
      </c>
      <c r="D69" s="6" t="inlineStr">
        <is>
          <t>Internal pipeline only</t>
        </is>
      </c>
    </row>
    <row r="70">
      <c r="A70" s="5" t="inlineStr">
        <is>
          <t>High rating</t>
        </is>
      </c>
      <c r="B70" s="5" t="inlineStr">
        <is>
          <t>Internal pipeline only</t>
        </is>
      </c>
      <c r="C70" s="6" t="inlineStr">
        <is>
          <t>The internal pipeline looks up the attendance-zone elementary, middle and high school and their public ratings; the demo reads a school name only where the memorandum states one and never rates it.</t>
        </is>
      </c>
    </row>
    <row r="72">
      <c r="A72" s="4" t="inlineStr">
        <is>
          <t>Notes</t>
        </is>
      </c>
      <c r="B72" s="4" t="n"/>
      <c r="C72" s="4" t="n"/>
    </row>
    <row r="73">
      <c r="A73" s="5" t="inlineStr">
        <is>
          <t>Notes</t>
        </is>
      </c>
      <c r="B73" s="5" t="inlineStr">
        <is>
          <t>Synthetic deal built to exercise the output formats, placed at a real address so the market tabs are real.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row r="79">
      <c r="A79" s="13" t="inlineStr">
        <is>
          <t>Synthetic deal</t>
        </is>
      </c>
      <c r="B79" t="inlineStr">
        <is>
          <t>The property, its unit mix, its rent roll, its trailing-twelve statement and its pricing are fabricated. Its LOCATION is real — 505 W Baseline Rd, Tempe, AZ 85283 — so the demand, supply, rent-comp and property-tax tabs are genuine pulls from the same sources a live upload reads: the operator's own weekly rent scrape, public permit and entitlement records, Census and BLS demographics, the vendored Zillow home-value table and the vendored county rate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0"/>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19"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Ovation at Tempe</t>
        </is>
      </c>
      <c r="B8" s="10" t="n">
        <v>0.46</v>
      </c>
      <c r="C8" s="8" t="n">
        <v>1984</v>
      </c>
      <c r="D8" s="5" t="inlineStr">
        <is>
          <t>1BR — group floor (lowest listing); the lowest-five measure was not provided</t>
        </is>
      </c>
      <c r="E8" s="15" t="n">
        <v>1</v>
      </c>
      <c r="F8" s="12" t="n"/>
      <c r="G8" s="7" t="n">
        <v>700</v>
      </c>
      <c r="H8" s="7" t="n">
        <v>1199</v>
      </c>
      <c r="I8" s="7" t="n">
        <v>0</v>
      </c>
      <c r="J8" s="7" t="n">
        <v>1199</v>
      </c>
      <c r="K8" s="16">
        <f>IFERROR(H8/G8,"")</f>
        <v/>
      </c>
      <c r="L8" s="12" t="n"/>
      <c r="M8" s="17" t="n">
        <v>46268</v>
      </c>
      <c r="N8" s="5" t="inlineStr">
        <is>
          <t>own weekly scrape</t>
        </is>
      </c>
    </row>
    <row r="9">
      <c r="A9" s="5" t="inlineStr">
        <is>
          <t>Ovation at Tempe</t>
        </is>
      </c>
      <c r="B9" s="10" t="n">
        <v>0.46</v>
      </c>
      <c r="C9" s="8" t="n">
        <v>1984</v>
      </c>
      <c r="D9" s="5" t="inlineStr">
        <is>
          <t>2BR — group floor (lowest listing); the lowest-five measure was not provided</t>
        </is>
      </c>
      <c r="E9" s="15" t="n">
        <v>2</v>
      </c>
      <c r="F9" s="12" t="n"/>
      <c r="G9" s="7" t="n">
        <v>935</v>
      </c>
      <c r="H9" s="7" t="n">
        <v>1299</v>
      </c>
      <c r="I9" s="7" t="n">
        <v>0</v>
      </c>
      <c r="J9" s="7" t="n">
        <v>1299</v>
      </c>
      <c r="K9" s="16">
        <f>IFERROR(H9/G9,"")</f>
        <v/>
      </c>
      <c r="L9" s="12" t="n"/>
      <c r="M9" s="17" t="n">
        <v>46268</v>
      </c>
      <c r="N9" s="5" t="inlineStr">
        <is>
          <t>own weekly scrape</t>
        </is>
      </c>
    </row>
    <row r="10">
      <c r="A10" s="5" t="inlineStr">
        <is>
          <t>The Avi</t>
        </is>
      </c>
      <c r="B10" s="10" t="n">
        <v>0.5</v>
      </c>
      <c r="C10" s="8" t="n">
        <v>1983</v>
      </c>
      <c r="D10" s="5" t="inlineStr">
        <is>
          <t>1BR — group floor (lowest listing); the lowest-five measure was not provided</t>
        </is>
      </c>
      <c r="E10" s="15" t="n">
        <v>1</v>
      </c>
      <c r="F10" s="12" t="n"/>
      <c r="G10" s="7" t="n">
        <v>720</v>
      </c>
      <c r="H10" s="7" t="n">
        <v>1100</v>
      </c>
      <c r="I10" s="7" t="n">
        <v>0</v>
      </c>
      <c r="J10" s="7" t="n">
        <v>1100</v>
      </c>
      <c r="K10" s="16">
        <f>IFERROR(H10/G10,"")</f>
        <v/>
      </c>
      <c r="L10" s="12" t="n"/>
      <c r="M10" s="17" t="n">
        <v>46267</v>
      </c>
      <c r="N10" s="5" t="inlineStr">
        <is>
          <t>own weekly scrape</t>
        </is>
      </c>
    </row>
    <row r="11">
      <c r="A11" s="5" t="inlineStr">
        <is>
          <t>The Avi</t>
        </is>
      </c>
      <c r="B11" s="10" t="n">
        <v>0.5</v>
      </c>
      <c r="C11" s="8" t="n">
        <v>1983</v>
      </c>
      <c r="D11" s="5" t="inlineStr">
        <is>
          <t>2BR — group floor (lowest listing); the lowest-five measure was not provided</t>
        </is>
      </c>
      <c r="E11" s="15" t="n">
        <v>2</v>
      </c>
      <c r="F11" s="12" t="n"/>
      <c r="G11" s="7" t="n">
        <v>840</v>
      </c>
      <c r="H11" s="7" t="n">
        <v>1200</v>
      </c>
      <c r="I11" s="7" t="n">
        <v>0</v>
      </c>
      <c r="J11" s="7" t="n">
        <v>1200</v>
      </c>
      <c r="K11" s="16">
        <f>IFERROR(H11/G11,"")</f>
        <v/>
      </c>
      <c r="L11" s="12" t="n"/>
      <c r="M11" s="17" t="n">
        <v>46267</v>
      </c>
      <c r="N11" s="5" t="inlineStr">
        <is>
          <t>own weekly scrape</t>
        </is>
      </c>
    </row>
    <row r="12">
      <c r="A12" s="5" t="inlineStr">
        <is>
          <t>The Avi</t>
        </is>
      </c>
      <c r="B12" s="10" t="n">
        <v>0.5</v>
      </c>
      <c r="C12" s="8" t="n">
        <v>1983</v>
      </c>
      <c r="D12" s="5" t="inlineStr">
        <is>
          <t>2BR — group floor (lowest listing); the lowest-five measure was not provided</t>
        </is>
      </c>
      <c r="E12" s="15" t="n">
        <v>2</v>
      </c>
      <c r="F12" s="12" t="n"/>
      <c r="G12" s="7" t="n">
        <v>1006</v>
      </c>
      <c r="H12" s="7" t="n">
        <v>1750</v>
      </c>
      <c r="I12" s="7" t="n">
        <v>0</v>
      </c>
      <c r="J12" s="7" t="n">
        <v>1750</v>
      </c>
      <c r="K12" s="16">
        <f>IFERROR(H12/G12,"")</f>
        <v/>
      </c>
      <c r="L12" s="12" t="n"/>
      <c r="M12" s="17" t="n">
        <v>46267</v>
      </c>
      <c r="N12" s="5" t="inlineStr">
        <is>
          <t>own weekly scrape</t>
        </is>
      </c>
    </row>
    <row r="13">
      <c r="A13" s="5" t="inlineStr">
        <is>
          <t>Mission Springs</t>
        </is>
      </c>
      <c r="B13" s="10" t="n">
        <v>0.55</v>
      </c>
      <c r="C13" s="8" t="n">
        <v>1987</v>
      </c>
      <c r="D13" s="5" t="inlineStr">
        <is>
          <t>0BR — group floor (lowest listing); the lowest-five measure was not provided</t>
        </is>
      </c>
      <c r="E13" s="15" t="n">
        <v>0</v>
      </c>
      <c r="F13" s="12" t="n"/>
      <c r="G13" s="7" t="n">
        <v>506</v>
      </c>
      <c r="H13" s="7" t="n">
        <v>942</v>
      </c>
      <c r="I13" s="7" t="n">
        <v>109</v>
      </c>
      <c r="J13" s="7" t="n">
        <v>833</v>
      </c>
      <c r="K13" s="16">
        <f>IFERROR(H13/G13,"")</f>
        <v/>
      </c>
      <c r="L13" s="12" t="n"/>
      <c r="M13" s="17" t="n">
        <v>46267</v>
      </c>
      <c r="N13" s="5" t="inlineStr">
        <is>
          <t>own weekly scrape</t>
        </is>
      </c>
    </row>
    <row r="14">
      <c r="A14" s="5" t="inlineStr">
        <is>
          <t>Mission Springs</t>
        </is>
      </c>
      <c r="B14" s="10" t="n">
        <v>0.55</v>
      </c>
      <c r="C14" s="8" t="n">
        <v>1987</v>
      </c>
      <c r="D14" s="5" t="inlineStr">
        <is>
          <t>1BR — group floor (lowest listing); the lowest-five measure was not provided</t>
        </is>
      </c>
      <c r="E14" s="15" t="n">
        <v>1</v>
      </c>
      <c r="F14" s="12" t="n"/>
      <c r="G14" s="7" t="n">
        <v>506</v>
      </c>
      <c r="H14" s="7" t="n">
        <v>1077</v>
      </c>
      <c r="I14" s="7" t="n">
        <v>124</v>
      </c>
      <c r="J14" s="7" t="n">
        <v>953</v>
      </c>
      <c r="K14" s="16">
        <f>IFERROR(H14/G14,"")</f>
        <v/>
      </c>
      <c r="L14" s="12" t="n"/>
      <c r="M14" s="17" t="n">
        <v>46267</v>
      </c>
      <c r="N14" s="5" t="inlineStr">
        <is>
          <t>own weekly scrape</t>
        </is>
      </c>
    </row>
    <row r="15">
      <c r="A15" s="5" t="inlineStr">
        <is>
          <t>Mission Springs</t>
        </is>
      </c>
      <c r="B15" s="10" t="n">
        <v>0.55</v>
      </c>
      <c r="C15" s="8" t="n">
        <v>1987</v>
      </c>
      <c r="D15" s="5" t="inlineStr">
        <is>
          <t>1BR — group floor (lowest listing); the lowest-five measure was not provided</t>
        </is>
      </c>
      <c r="E15" s="15" t="n">
        <v>1</v>
      </c>
      <c r="F15" s="12" t="n"/>
      <c r="G15" s="7" t="n">
        <v>635</v>
      </c>
      <c r="H15" s="7" t="n">
        <v>1100</v>
      </c>
      <c r="I15" s="7" t="n">
        <v>127</v>
      </c>
      <c r="J15" s="7" t="n">
        <v>973</v>
      </c>
      <c r="K15" s="16">
        <f>IFERROR(H15/G15,"")</f>
        <v/>
      </c>
      <c r="L15" s="12" t="n"/>
      <c r="M15" s="17" t="n">
        <v>46267</v>
      </c>
      <c r="N15" s="5" t="inlineStr">
        <is>
          <t>own weekly scrape</t>
        </is>
      </c>
    </row>
    <row r="16">
      <c r="A16" s="5" t="inlineStr">
        <is>
          <t>Mission Springs</t>
        </is>
      </c>
      <c r="B16" s="10" t="n">
        <v>0.55</v>
      </c>
      <c r="C16" s="8" t="n">
        <v>1987</v>
      </c>
      <c r="D16" s="5" t="inlineStr">
        <is>
          <t>2BR — group floor (lowest listing); the lowest-five measure was not provided</t>
        </is>
      </c>
      <c r="E16" s="15" t="n">
        <v>2</v>
      </c>
      <c r="F16" s="12" t="n"/>
      <c r="G16" s="7" t="n">
        <v>804</v>
      </c>
      <c r="H16" s="7" t="n">
        <v>1277</v>
      </c>
      <c r="I16" s="7" t="n">
        <v>147</v>
      </c>
      <c r="J16" s="7" t="n">
        <v>1130</v>
      </c>
      <c r="K16" s="16">
        <f>IFERROR(H16/G16,"")</f>
        <v/>
      </c>
      <c r="L16" s="12" t="n"/>
      <c r="M16" s="17" t="n">
        <v>46267</v>
      </c>
      <c r="N16" s="5" t="inlineStr">
        <is>
          <t>own weekly scrape</t>
        </is>
      </c>
    </row>
    <row r="17">
      <c r="A17" s="5" t="inlineStr">
        <is>
          <t>Mission Springs</t>
        </is>
      </c>
      <c r="B17" s="10" t="n">
        <v>0.55</v>
      </c>
      <c r="C17" s="8" t="n">
        <v>1987</v>
      </c>
      <c r="D17" s="5" t="inlineStr">
        <is>
          <t>2BR — group floor (lowest listing); the lowest-five measure was not provided</t>
        </is>
      </c>
      <c r="E17" s="15" t="n">
        <v>2</v>
      </c>
      <c r="F17" s="12" t="n"/>
      <c r="G17" s="7" t="n">
        <v>884</v>
      </c>
      <c r="H17" s="7" t="n">
        <v>1327</v>
      </c>
      <c r="I17" s="7" t="n">
        <v>153</v>
      </c>
      <c r="J17" s="7" t="n">
        <v>1174</v>
      </c>
      <c r="K17" s="16">
        <f>IFERROR(H17/G17,"")</f>
        <v/>
      </c>
      <c r="L17" s="12" t="n"/>
      <c r="M17" s="17" t="n">
        <v>46267</v>
      </c>
      <c r="N17" s="5" t="inlineStr">
        <is>
          <t>own weekly scrape</t>
        </is>
      </c>
    </row>
    <row r="18">
      <c r="A18" s="5" t="inlineStr">
        <is>
          <t>Mercury on Mill</t>
        </is>
      </c>
      <c r="B18" s="10" t="n">
        <v>0.63</v>
      </c>
      <c r="C18" s="8" t="n">
        <v>1972</v>
      </c>
      <c r="D18" s="5" t="inlineStr">
        <is>
          <t>1BR — group floor (lowest listing); the lowest-five measure was not provided</t>
        </is>
      </c>
      <c r="E18" s="15" t="n">
        <v>1</v>
      </c>
      <c r="F18" s="12" t="n"/>
      <c r="G18" s="7" t="n">
        <v>635</v>
      </c>
      <c r="H18" s="7" t="n">
        <v>999</v>
      </c>
      <c r="I18" s="7" t="n">
        <v>77</v>
      </c>
      <c r="J18" s="7" t="n">
        <v>922</v>
      </c>
      <c r="K18" s="16">
        <f>IFERROR(H18/G18,"")</f>
        <v/>
      </c>
      <c r="L18" s="12" t="n"/>
      <c r="M18" s="17" t="n">
        <v>46268</v>
      </c>
      <c r="N18" s="5" t="inlineStr">
        <is>
          <t>own weekly scrape</t>
        </is>
      </c>
    </row>
    <row r="19">
      <c r="A19" s="5" t="inlineStr">
        <is>
          <t>Mercury on Mill</t>
        </is>
      </c>
      <c r="B19" s="10" t="n">
        <v>0.63</v>
      </c>
      <c r="C19" s="8" t="n">
        <v>1972</v>
      </c>
      <c r="D19" s="5" t="inlineStr">
        <is>
          <t>2BR — group floor (lowest listing); the lowest-five measure was not provided</t>
        </is>
      </c>
      <c r="E19" s="15" t="n">
        <v>2</v>
      </c>
      <c r="F19" s="12" t="n"/>
      <c r="G19" s="7" t="n">
        <v>820</v>
      </c>
      <c r="H19" s="7" t="n">
        <v>1099</v>
      </c>
      <c r="I19" s="7" t="n">
        <v>85</v>
      </c>
      <c r="J19" s="7" t="n">
        <v>1014</v>
      </c>
      <c r="K19" s="16">
        <f>IFERROR(H19/G19,"")</f>
        <v/>
      </c>
      <c r="L19" s="12" t="n"/>
      <c r="M19" s="17" t="n">
        <v>46268</v>
      </c>
      <c r="N19" s="5" t="inlineStr">
        <is>
          <t>own weekly scrape</t>
        </is>
      </c>
    </row>
    <row r="20">
      <c r="A20" s="5" t="inlineStr">
        <is>
          <t>Sofia Apartments</t>
        </is>
      </c>
      <c r="B20" s="10" t="n">
        <v>0.72</v>
      </c>
      <c r="C20" s="8" t="n">
        <v>1979</v>
      </c>
      <c r="D20" s="5" t="inlineStr">
        <is>
          <t>1BR — group floor (lowest listing); the lowest-five measure was not provided</t>
        </is>
      </c>
      <c r="E20" s="15" t="n">
        <v>1</v>
      </c>
      <c r="F20" s="12" t="n"/>
      <c r="G20" s="7" t="n">
        <v>710</v>
      </c>
      <c r="H20" s="7" t="n">
        <v>1199</v>
      </c>
      <c r="I20" s="7" t="n">
        <v>92</v>
      </c>
      <c r="J20" s="7" t="n">
        <v>1107</v>
      </c>
      <c r="K20" s="16">
        <f>IFERROR(H20/G20,"")</f>
        <v/>
      </c>
      <c r="L20" s="12" t="n"/>
      <c r="M20" s="17" t="n">
        <v>46266</v>
      </c>
      <c r="N20" s="5" t="inlineStr">
        <is>
          <t>own weekly scrape</t>
        </is>
      </c>
    </row>
    <row r="21">
      <c r="A21" s="5" t="inlineStr">
        <is>
          <t>Sofia Apartments</t>
        </is>
      </c>
      <c r="B21" s="10" t="n">
        <v>0.72</v>
      </c>
      <c r="C21" s="8" t="n">
        <v>1979</v>
      </c>
      <c r="D21" s="5" t="inlineStr">
        <is>
          <t>2BR — group floor (lowest listing); the lowest-five measure was not provided</t>
        </is>
      </c>
      <c r="E21" s="15" t="n">
        <v>2</v>
      </c>
      <c r="F21" s="12" t="n"/>
      <c r="G21" s="7" t="n">
        <v>820</v>
      </c>
      <c r="H21" s="7" t="n">
        <v>1099</v>
      </c>
      <c r="I21" s="7" t="n">
        <v>85</v>
      </c>
      <c r="J21" s="7" t="n">
        <v>1014</v>
      </c>
      <c r="K21" s="16">
        <f>IFERROR(H21/G21,"")</f>
        <v/>
      </c>
      <c r="L21" s="12" t="n"/>
      <c r="M21" s="17" t="n">
        <v>46266</v>
      </c>
      <c r="N21" s="5" t="inlineStr">
        <is>
          <t>own weekly scrape</t>
        </is>
      </c>
    </row>
    <row r="22"/>
    <row r="23">
      <c r="A23" s="4" t="inlineStr">
        <is>
          <t>Tier 2 — Additional comps: the next 3 communities matching the subject's product and vintage</t>
        </is>
      </c>
      <c r="B23" s="4" t="n"/>
      <c r="C23" s="4" t="n"/>
      <c r="D23" s="4" t="n"/>
      <c r="E23" s="4" t="n"/>
      <c r="F23" s="4" t="n"/>
    </row>
    <row r="24">
      <c r="A24" s="14" t="inlineStr">
        <is>
          <t>Community</t>
        </is>
      </c>
      <c r="B24" s="14" t="inlineStr">
        <is>
          <t>Distance (mi)</t>
        </is>
      </c>
      <c r="C24" s="14" t="inlineStr">
        <is>
          <t>Year built</t>
        </is>
      </c>
      <c r="D24" s="14" t="inlineStr">
        <is>
          <t>Floor plan</t>
        </is>
      </c>
      <c r="E24" s="14" t="inlineStr">
        <is>
          <t>Beds</t>
        </is>
      </c>
      <c r="F24" s="14" t="inlineStr">
        <is>
          <t>Baths</t>
        </is>
      </c>
      <c r="G24" s="14" t="inlineStr">
        <is>
          <t>SF</t>
        </is>
      </c>
      <c r="H24" s="14" t="inlineStr">
        <is>
          <t>Asking rent</t>
        </is>
      </c>
      <c r="I24" s="14" t="inlineStr">
        <is>
          <t>Concession</t>
        </is>
      </c>
      <c r="J24" s="14" t="inlineStr">
        <is>
          <t>Net effective rent</t>
        </is>
      </c>
      <c r="K24" s="14" t="inlineStr">
        <is>
          <t>Asking $/SF</t>
        </is>
      </c>
      <c r="L24" s="14" t="inlineStr">
        <is>
          <t>Occupancy</t>
        </is>
      </c>
      <c r="M24" s="14" t="inlineStr">
        <is>
          <t>As-of date</t>
        </is>
      </c>
      <c r="N24" s="14" t="inlineStr">
        <is>
          <t>Source</t>
        </is>
      </c>
    </row>
    <row r="25">
      <c r="A25" s="5" t="inlineStr">
        <is>
          <t>Sono Tempe</t>
        </is>
      </c>
      <c r="B25" s="10" t="n">
        <v>0.76</v>
      </c>
      <c r="C25" s="8" t="n">
        <v>1973</v>
      </c>
      <c r="D25" s="5" t="inlineStr">
        <is>
          <t>0BR — group floor (lowest listing); the lowest-five measure was not provided</t>
        </is>
      </c>
      <c r="E25" s="15" t="n">
        <v>0</v>
      </c>
      <c r="F25" s="12" t="n"/>
      <c r="G25" s="7" t="n">
        <v>416</v>
      </c>
      <c r="H25" s="7" t="n">
        <v>867</v>
      </c>
      <c r="I25" s="7" t="n">
        <v>67</v>
      </c>
      <c r="J25" s="7" t="n">
        <v>800</v>
      </c>
      <c r="K25" s="16">
        <f>IFERROR(H25/G25,"")</f>
        <v/>
      </c>
      <c r="L25" s="12" t="n"/>
      <c r="M25" s="17" t="n">
        <v>46268</v>
      </c>
      <c r="N25" s="5" t="inlineStr">
        <is>
          <t>own weekly scrape</t>
        </is>
      </c>
    </row>
    <row r="26">
      <c r="A26" s="5" t="inlineStr">
        <is>
          <t>Sono Tempe</t>
        </is>
      </c>
      <c r="B26" s="10" t="n">
        <v>0.76</v>
      </c>
      <c r="C26" s="8" t="n">
        <v>1973</v>
      </c>
      <c r="D26" s="5" t="inlineStr">
        <is>
          <t>1BR — group floor (lowest listing); the lowest-five measure was not provided</t>
        </is>
      </c>
      <c r="E26" s="15" t="n">
        <v>1</v>
      </c>
      <c r="F26" s="12" t="n"/>
      <c r="G26" s="7" t="n">
        <v>659</v>
      </c>
      <c r="H26" s="7" t="n">
        <v>903</v>
      </c>
      <c r="I26" s="7" t="n">
        <v>69</v>
      </c>
      <c r="J26" s="7" t="n">
        <v>834</v>
      </c>
      <c r="K26" s="16">
        <f>IFERROR(H26/G26,"")</f>
        <v/>
      </c>
      <c r="L26" s="12" t="n"/>
      <c r="M26" s="17" t="n">
        <v>46268</v>
      </c>
      <c r="N26" s="5" t="inlineStr">
        <is>
          <t>own weekly scrape</t>
        </is>
      </c>
    </row>
    <row r="27">
      <c r="A27" s="5" t="inlineStr">
        <is>
          <t>Sono Tempe</t>
        </is>
      </c>
      <c r="B27" s="10" t="n">
        <v>0.76</v>
      </c>
      <c r="C27" s="8" t="n">
        <v>1973</v>
      </c>
      <c r="D27" s="5" t="inlineStr">
        <is>
          <t>2BR — group floor (lowest listing); the lowest-five measure was not provided</t>
        </is>
      </c>
      <c r="E27" s="15" t="n">
        <v>2</v>
      </c>
      <c r="F27" s="12" t="n"/>
      <c r="G27" s="7" t="n">
        <v>768</v>
      </c>
      <c r="H27" s="7" t="n">
        <v>1016</v>
      </c>
      <c r="I27" s="7" t="n">
        <v>78</v>
      </c>
      <c r="J27" s="7" t="n">
        <v>938</v>
      </c>
      <c r="K27" s="16">
        <f>IFERROR(H27/G27,"")</f>
        <v/>
      </c>
      <c r="L27" s="12" t="n"/>
      <c r="M27" s="17" t="n">
        <v>46268</v>
      </c>
      <c r="N27" s="5" t="inlineStr">
        <is>
          <t>own weekly scrape</t>
        </is>
      </c>
    </row>
    <row r="28">
      <c r="A28" s="5" t="inlineStr">
        <is>
          <t>Sono Tempe</t>
        </is>
      </c>
      <c r="B28" s="10" t="n">
        <v>0.76</v>
      </c>
      <c r="C28" s="8" t="n">
        <v>1973</v>
      </c>
      <c r="D28" s="5" t="inlineStr">
        <is>
          <t>2BR — group floor (lowest listing); the lowest-five measure was not provided</t>
        </is>
      </c>
      <c r="E28" s="15" t="n">
        <v>2</v>
      </c>
      <c r="F28" s="12" t="n"/>
      <c r="G28" s="7" t="n">
        <v>904</v>
      </c>
      <c r="H28" s="7" t="n">
        <v>941</v>
      </c>
      <c r="I28" s="7" t="n">
        <v>72</v>
      </c>
      <c r="J28" s="7" t="n">
        <v>869</v>
      </c>
      <c r="K28" s="16">
        <f>IFERROR(H28/G28,"")</f>
        <v/>
      </c>
      <c r="L28" s="12" t="n"/>
      <c r="M28" s="17" t="n">
        <v>46268</v>
      </c>
      <c r="N28" s="5" t="inlineStr">
        <is>
          <t>own weekly scrape</t>
        </is>
      </c>
    </row>
    <row r="29">
      <c r="A29" s="5" t="inlineStr">
        <is>
          <t>Sono Tempe</t>
        </is>
      </c>
      <c r="B29" s="10" t="n">
        <v>0.76</v>
      </c>
      <c r="C29" s="8" t="n">
        <v>1973</v>
      </c>
      <c r="D29" s="5" t="inlineStr">
        <is>
          <t>2BR — group floor (lowest listing); the lowest-five measure was not provided</t>
        </is>
      </c>
      <c r="E29" s="15" t="n">
        <v>2</v>
      </c>
      <c r="F29" s="12" t="n"/>
      <c r="G29" s="7" t="n">
        <v>934</v>
      </c>
      <c r="H29" s="7" t="n">
        <v>986</v>
      </c>
      <c r="I29" s="7" t="n">
        <v>76</v>
      </c>
      <c r="J29" s="7" t="n">
        <v>910</v>
      </c>
      <c r="K29" s="16">
        <f>IFERROR(H29/G29,"")</f>
        <v/>
      </c>
      <c r="L29" s="12" t="n"/>
      <c r="M29" s="17" t="n">
        <v>46268</v>
      </c>
      <c r="N29" s="5" t="inlineStr">
        <is>
          <t>own weekly scrape</t>
        </is>
      </c>
    </row>
    <row r="30">
      <c r="A30" s="5" t="inlineStr">
        <is>
          <t>The Molino</t>
        </is>
      </c>
      <c r="B30" s="10" t="n">
        <v>0.9399999999999999</v>
      </c>
      <c r="C30" s="8" t="n">
        <v>1982</v>
      </c>
      <c r="D30" s="5" t="inlineStr">
        <is>
          <t>0BR — group floor (lowest listing); the lowest-five measure was not provided</t>
        </is>
      </c>
      <c r="E30" s="15" t="n">
        <v>0</v>
      </c>
      <c r="F30" s="12" t="n"/>
      <c r="G30" s="7" t="n">
        <v>315</v>
      </c>
      <c r="H30" s="7" t="n">
        <v>949</v>
      </c>
      <c r="I30" s="7" t="n">
        <v>0</v>
      </c>
      <c r="J30" s="7" t="n">
        <v>949</v>
      </c>
      <c r="K30" s="16">
        <f>IFERROR(H30/G30,"")</f>
        <v/>
      </c>
      <c r="L30" s="12" t="n"/>
      <c r="M30" s="17" t="n">
        <v>46267</v>
      </c>
      <c r="N30" s="5" t="inlineStr">
        <is>
          <t>own weekly scrape</t>
        </is>
      </c>
    </row>
    <row r="31">
      <c r="A31" s="5" t="inlineStr">
        <is>
          <t>The Molino</t>
        </is>
      </c>
      <c r="B31" s="10" t="n">
        <v>0.9399999999999999</v>
      </c>
      <c r="C31" s="8" t="n">
        <v>1982</v>
      </c>
      <c r="D31" s="5" t="inlineStr">
        <is>
          <t>0BR — group floor (lowest listing); the lowest-five measure was not provided</t>
        </is>
      </c>
      <c r="E31" s="15" t="n">
        <v>0</v>
      </c>
      <c r="F31" s="12" t="n"/>
      <c r="G31" s="7" t="n">
        <v>325</v>
      </c>
      <c r="H31" s="7" t="n">
        <v>949</v>
      </c>
      <c r="I31" s="7" t="n">
        <v>0</v>
      </c>
      <c r="J31" s="7" t="n">
        <v>949</v>
      </c>
      <c r="K31" s="16">
        <f>IFERROR(H31/G31,"")</f>
        <v/>
      </c>
      <c r="L31" s="12" t="n"/>
      <c r="M31" s="17" t="n">
        <v>46267</v>
      </c>
      <c r="N31" s="5" t="inlineStr">
        <is>
          <t>own weekly scrape</t>
        </is>
      </c>
    </row>
    <row r="32">
      <c r="A32" s="5" t="inlineStr">
        <is>
          <t>The Molino</t>
        </is>
      </c>
      <c r="B32" s="10" t="n">
        <v>0.9399999999999999</v>
      </c>
      <c r="C32" s="8" t="n">
        <v>1982</v>
      </c>
      <c r="D32" s="5" t="inlineStr">
        <is>
          <t>1BR — group floor (lowest listing); the lowest-five measure was not provided</t>
        </is>
      </c>
      <c r="E32" s="15" t="n">
        <v>1</v>
      </c>
      <c r="F32" s="12" t="n"/>
      <c r="G32" s="7" t="n">
        <v>450</v>
      </c>
      <c r="H32" s="7" t="n">
        <v>1049</v>
      </c>
      <c r="I32" s="7" t="n">
        <v>0</v>
      </c>
      <c r="J32" s="7" t="n">
        <v>1049</v>
      </c>
      <c r="K32" s="16">
        <f>IFERROR(H32/G32,"")</f>
        <v/>
      </c>
      <c r="L32" s="12" t="n"/>
      <c r="M32" s="17" t="n">
        <v>46267</v>
      </c>
      <c r="N32" s="5" t="inlineStr">
        <is>
          <t>own weekly scrape</t>
        </is>
      </c>
    </row>
    <row r="33">
      <c r="A33" s="5" t="inlineStr">
        <is>
          <t>The Molino</t>
        </is>
      </c>
      <c r="B33" s="10" t="n">
        <v>0.9399999999999999</v>
      </c>
      <c r="C33" s="8" t="n">
        <v>1982</v>
      </c>
      <c r="D33" s="5" t="inlineStr">
        <is>
          <t>1BR — group floor (lowest listing); the lowest-five measure was not provided</t>
        </is>
      </c>
      <c r="E33" s="15" t="n">
        <v>1</v>
      </c>
      <c r="F33" s="12" t="n"/>
      <c r="G33" s="7" t="n">
        <v>600</v>
      </c>
      <c r="H33" s="7" t="n">
        <v>1099</v>
      </c>
      <c r="I33" s="7" t="n">
        <v>0</v>
      </c>
      <c r="J33" s="7" t="n">
        <v>1099</v>
      </c>
      <c r="K33" s="16">
        <f>IFERROR(H33/G33,"")</f>
        <v/>
      </c>
      <c r="L33" s="12" t="n"/>
      <c r="M33" s="17" t="n">
        <v>46267</v>
      </c>
      <c r="N33" s="5" t="inlineStr">
        <is>
          <t>own weekly scrape</t>
        </is>
      </c>
    </row>
    <row r="34">
      <c r="A34" s="5" t="inlineStr">
        <is>
          <t>The Molino</t>
        </is>
      </c>
      <c r="B34" s="10" t="n">
        <v>0.9399999999999999</v>
      </c>
      <c r="C34" s="8" t="n">
        <v>1982</v>
      </c>
      <c r="D34" s="5" t="inlineStr">
        <is>
          <t>1BR — group floor (lowest listing); the lowest-five measure was not provided</t>
        </is>
      </c>
      <c r="E34" s="15" t="n">
        <v>1</v>
      </c>
      <c r="F34" s="12" t="n"/>
      <c r="G34" s="7" t="n">
        <v>650</v>
      </c>
      <c r="H34" s="7" t="n">
        <v>1049</v>
      </c>
      <c r="I34" s="7" t="n">
        <v>0</v>
      </c>
      <c r="J34" s="7" t="n">
        <v>1049</v>
      </c>
      <c r="K34" s="16">
        <f>IFERROR(H34/G34,"")</f>
        <v/>
      </c>
      <c r="L34" s="12" t="n"/>
      <c r="M34" s="17" t="n">
        <v>46267</v>
      </c>
      <c r="N34" s="5" t="inlineStr">
        <is>
          <t>own weekly scrape</t>
        </is>
      </c>
    </row>
    <row r="35">
      <c r="A35" s="5" t="inlineStr">
        <is>
          <t>La Estancia Apartment Homes</t>
        </is>
      </c>
      <c r="B35" s="10" t="n">
        <v>1.17</v>
      </c>
      <c r="C35" s="8" t="n">
        <v>1987</v>
      </c>
      <c r="D35" s="5" t="inlineStr">
        <is>
          <t>1BR — group floor (lowest listing); the lowest-five measure was not provided</t>
        </is>
      </c>
      <c r="E35" s="15" t="n">
        <v>1</v>
      </c>
      <c r="F35" s="12" t="n"/>
      <c r="G35" s="7" t="n">
        <v>825</v>
      </c>
      <c r="H35" s="7" t="n">
        <v>1310</v>
      </c>
      <c r="I35" s="7" t="n">
        <v>0</v>
      </c>
      <c r="J35" s="7" t="n">
        <v>1310</v>
      </c>
      <c r="K35" s="16">
        <f>IFERROR(H35/G35,"")</f>
        <v/>
      </c>
      <c r="L35" s="12" t="n"/>
      <c r="M35" s="17" t="n">
        <v>46267</v>
      </c>
      <c r="N35" s="5" t="inlineStr">
        <is>
          <t>own weekly scrape</t>
        </is>
      </c>
    </row>
    <row r="36">
      <c r="A36" s="5" t="inlineStr">
        <is>
          <t>La Estancia Apartment Homes</t>
        </is>
      </c>
      <c r="B36" s="10" t="n">
        <v>1.17</v>
      </c>
      <c r="C36" s="8" t="n">
        <v>1987</v>
      </c>
      <c r="D36" s="5" t="inlineStr">
        <is>
          <t>2BR — group floor (lowest listing); the lowest-five measure was not provided</t>
        </is>
      </c>
      <c r="E36" s="15" t="n">
        <v>2</v>
      </c>
      <c r="F36" s="12" t="n"/>
      <c r="G36" s="7" t="n">
        <v>1150</v>
      </c>
      <c r="H36" s="7" t="n">
        <v>1522</v>
      </c>
      <c r="I36" s="7" t="n">
        <v>0</v>
      </c>
      <c r="J36" s="7" t="n">
        <v>1522</v>
      </c>
      <c r="K36" s="16">
        <f>IFERROR(H36/G36,"")</f>
        <v/>
      </c>
      <c r="L36" s="12" t="n"/>
      <c r="M36" s="17" t="n">
        <v>46267</v>
      </c>
      <c r="N36" s="5" t="inlineStr">
        <is>
          <t>own weekly scrape</t>
        </is>
      </c>
    </row>
    <row r="37">
      <c r="A37" s="5" t="inlineStr">
        <is>
          <t>La Estancia Apartment Homes</t>
        </is>
      </c>
      <c r="B37" s="10" t="n">
        <v>1.17</v>
      </c>
      <c r="C37" s="8" t="n">
        <v>1987</v>
      </c>
      <c r="D37" s="5" t="inlineStr">
        <is>
          <t>2BR — group floor (lowest listing); the lowest-five measure was not provided</t>
        </is>
      </c>
      <c r="E37" s="15" t="n">
        <v>2</v>
      </c>
      <c r="F37" s="12" t="n"/>
      <c r="G37" s="7" t="n">
        <v>1180</v>
      </c>
      <c r="H37" s="7" t="n">
        <v>1568</v>
      </c>
      <c r="I37" s="7" t="n">
        <v>0</v>
      </c>
      <c r="J37" s="7" t="n">
        <v>1568</v>
      </c>
      <c r="K37" s="16">
        <f>IFERROR(H37/G37,"")</f>
        <v/>
      </c>
      <c r="L37" s="12" t="n"/>
      <c r="M37" s="17" t="n">
        <v>46267</v>
      </c>
      <c r="N37" s="5" t="inlineStr">
        <is>
          <t>own weekly scrape</t>
        </is>
      </c>
    </row>
    <row r="38"/>
    <row r="39">
      <c r="A39" s="4" t="inlineStr">
        <is>
          <t>Tier 3 — Also nearby: 446 tracked communities inside the radius that are not comps, and why</t>
        </is>
      </c>
      <c r="B39" s="4" t="n"/>
      <c r="C39" s="4" t="n"/>
      <c r="D39" s="4" t="n"/>
      <c r="E39" s="4" t="n"/>
      <c r="F39" s="4" t="n"/>
    </row>
    <row r="40">
      <c r="A40" s="5" t="inlineStr">
        <is>
          <t>Identity only, by design. No rent is shown for these — a rent on a row that did not pass the comp criteria reads as a comp.</t>
        </is>
      </c>
    </row>
    <row r="41">
      <c r="A41" s="14" t="inlineStr">
        <is>
          <t>Community</t>
        </is>
      </c>
      <c r="B41" s="14" t="inlineStr">
        <is>
          <t>Address</t>
        </is>
      </c>
      <c r="C41" s="14" t="inlineStr">
        <is>
          <t>Distance (mi)</t>
        </is>
      </c>
      <c r="D41" s="14" t="inlineStr">
        <is>
          <t>Units</t>
        </is>
      </c>
      <c r="E41" s="14" t="inlineStr">
        <is>
          <t>Product</t>
        </is>
      </c>
      <c r="F41" s="14" t="inlineStr">
        <is>
          <t>Year built</t>
        </is>
      </c>
      <c r="G41" s="14" t="inlineStr">
        <is>
          <t>Not a comp because</t>
        </is>
      </c>
    </row>
    <row r="42">
      <c r="A42" s="5" t="inlineStr">
        <is>
          <t>Townhomes at Kyrene</t>
        </is>
      </c>
      <c r="B42" s="5" t="inlineStr">
        <is>
          <t>647 W Baseline Rd, Tempe, AZ 85283-5058</t>
        </is>
      </c>
      <c r="C42" s="10" t="n">
        <v>0.07000000000000001</v>
      </c>
      <c r="D42" s="7" t="n">
        <v>240</v>
      </c>
      <c r="E42" s="5" t="inlineStr">
        <is>
          <t>bfr</t>
        </is>
      </c>
      <c r="F42" s="8" t="n">
        <v>2009</v>
      </c>
      <c r="G42" s="5" t="inlineStr">
        <is>
          <t>different product: tracked as bfr, subject is MF</t>
        </is>
      </c>
    </row>
    <row r="43">
      <c r="A43" s="5" t="inlineStr">
        <is>
          <t>505 West Apartment Homes</t>
        </is>
      </c>
      <c r="B43" s="5" t="inlineStr">
        <is>
          <t>505 W Baseline Rd, Tempe, AZ 85283</t>
        </is>
      </c>
      <c r="C43" s="10" t="n">
        <v>0.1</v>
      </c>
      <c r="D43" s="7" t="n">
        <v>334</v>
      </c>
      <c r="E43" s="5" t="inlineStr">
        <is>
          <t>mf</t>
        </is>
      </c>
      <c r="F43" s="8" t="n">
        <v>1981</v>
      </c>
      <c r="G43" s="5" t="inlineStr">
        <is>
          <t>its 3 unit group(s) were withheld (flagged for review, no bedroom count or no rent), so nothing could be quoted</t>
        </is>
      </c>
    </row>
    <row r="44">
      <c r="A44" s="5" t="inlineStr">
        <is>
          <t>San Palmilla</t>
        </is>
      </c>
      <c r="B44" s="5" t="inlineStr">
        <is>
          <t>750 W Baseline Rd, Tempe, AZ 85283</t>
        </is>
      </c>
      <c r="C44" s="10" t="n">
        <v>0.17</v>
      </c>
      <c r="D44" s="7" t="n">
        <v>372</v>
      </c>
      <c r="E44" s="5" t="inlineStr">
        <is>
          <t>mf</t>
        </is>
      </c>
      <c r="F44" s="8" t="n">
        <v>1997</v>
      </c>
      <c r="G44" s="5" t="inlineStr">
        <is>
          <t>vintage 1997 is 16 years from the subject's 1981, outside the +/-10-year band</t>
        </is>
      </c>
    </row>
    <row r="45">
      <c r="A45" s="5" t="inlineStr">
        <is>
          <t>Villagio Apartment Homes</t>
        </is>
      </c>
      <c r="B45" s="5" t="inlineStr">
        <is>
          <t>1133 W Baseline Rd, Tempe, AZ 85283-5351</t>
        </is>
      </c>
      <c r="C45" s="10" t="n">
        <v>0.37</v>
      </c>
      <c r="D45" s="7" t="n">
        <v>472</v>
      </c>
      <c r="E45" s="5" t="inlineStr">
        <is>
          <t>mf</t>
        </is>
      </c>
      <c r="F45" s="8" t="n">
        <v>1983</v>
      </c>
      <c r="G45" s="5" t="inlineStr">
        <is>
          <t>its 4 unit group(s) were withheld (flagged for review, no bedroom count or no rent), so nothing could be quoted</t>
        </is>
      </c>
    </row>
    <row r="46">
      <c r="A46" s="5" t="inlineStr">
        <is>
          <t>Omnia Baseline</t>
        </is>
      </c>
      <c r="B46" s="5" t="inlineStr">
        <is>
          <t>1145 W Baseline Rd, Tempe, AZ 85283</t>
        </is>
      </c>
      <c r="C46" s="10" t="n">
        <v>0.41</v>
      </c>
      <c r="D46" s="7" t="n">
        <v>169</v>
      </c>
      <c r="E46" s="5" t="inlineStr">
        <is>
          <t>mf</t>
        </is>
      </c>
      <c r="F46" s="8" t="n">
        <v>1982</v>
      </c>
      <c r="G46" s="5" t="inlineStr">
        <is>
          <t>its 3 unit group(s) were withheld (flagged for review, no bedroom count or no rent), so nothing could be quoted</t>
        </is>
      </c>
    </row>
    <row r="47">
      <c r="A47" s="5" t="inlineStr">
        <is>
          <t>Ponderosa Ranch Apartments</t>
        </is>
      </c>
      <c r="B47" s="5" t="inlineStr">
        <is>
          <t>4839 S Darrow Dr, Tempe, AZ 85282-6684</t>
        </is>
      </c>
      <c r="C47" s="10" t="n">
        <v>0.71</v>
      </c>
      <c r="D47" s="7" t="n">
        <v>272</v>
      </c>
      <c r="E47" s="5" t="inlineStr">
        <is>
          <t>mf</t>
        </is>
      </c>
      <c r="F47" s="8" t="n">
        <v>1983</v>
      </c>
      <c r="G47" s="5" t="inlineStr">
        <is>
          <t>its 2 unit group(s) were withheld (flagged for review, no bedroom count or no rent), so nothing could be quoted</t>
        </is>
      </c>
    </row>
    <row r="48">
      <c r="A48" s="5" t="inlineStr">
        <is>
          <t>San Marquis</t>
        </is>
      </c>
      <c r="B48" s="5" t="inlineStr">
        <is>
          <t>577 E Baseline Rd, Tempe, AZ 85283-1692</t>
        </is>
      </c>
      <c r="C48" s="10" t="n">
        <v>0.93</v>
      </c>
      <c r="D48" s="7" t="n">
        <v>224</v>
      </c>
      <c r="E48" s="5" t="inlineStr">
        <is>
          <t>mf</t>
        </is>
      </c>
      <c r="F48" s="8" t="n">
        <v>2012</v>
      </c>
      <c r="G48" s="5" t="inlineStr">
        <is>
          <t>vintage 2012 is 31 years from the subject's 1981, outside the +/-10-year band</t>
        </is>
      </c>
    </row>
    <row r="49">
      <c r="A49" s="5" t="inlineStr">
        <is>
          <t>Cabana Kyrene</t>
        </is>
      </c>
      <c r="B49" s="5" t="inlineStr">
        <is>
          <t>515 W Guadalupe Rd, Tempe, AZ 85283</t>
        </is>
      </c>
      <c r="C49" s="10" t="n">
        <v>1.03</v>
      </c>
      <c r="D49" s="7" t="n">
        <v>229</v>
      </c>
      <c r="E49" s="5" t="inlineStr">
        <is>
          <t>mf</t>
        </is>
      </c>
      <c r="F49" s="8" t="n">
        <v>2026</v>
      </c>
      <c r="G49" s="5" t="inlineStr">
        <is>
          <t>vintage 2026 is 45 years from the subject's 1981, outside the +/-10-year band</t>
        </is>
      </c>
    </row>
    <row r="50">
      <c r="A50" s="5" t="inlineStr">
        <is>
          <t>Galleria Palms</t>
        </is>
      </c>
      <c r="B50" s="5" t="inlineStr">
        <is>
          <t>1600 W La Jolla Dr, Tempe, AZ 85282</t>
        </is>
      </c>
      <c r="C50" s="10" t="n">
        <v>1.19</v>
      </c>
      <c r="D50" s="7" t="n">
        <v>424</v>
      </c>
      <c r="E50" s="5" t="inlineStr">
        <is>
          <t>mf</t>
        </is>
      </c>
      <c r="F50" s="8" t="n">
        <v>1997</v>
      </c>
      <c r="G50" s="5" t="inlineStr">
        <is>
          <t>vintage 1997 is 16 years from the subject's 1981, outside the +/-10-year band</t>
        </is>
      </c>
    </row>
    <row r="51">
      <c r="A51" s="5" t="inlineStr">
        <is>
          <t>Lakeview at the Bay</t>
        </is>
      </c>
      <c r="B51" s="5" t="inlineStr">
        <is>
          <t>995 E Baseline Rd, Tempe, AZ 85283-1333</t>
        </is>
      </c>
      <c r="C51" s="10" t="n">
        <v>1.24</v>
      </c>
      <c r="D51" s="7" t="n">
        <v>370</v>
      </c>
      <c r="E51" s="5" t="inlineStr">
        <is>
          <t>mf</t>
        </is>
      </c>
      <c r="F51" s="8" t="n">
        <v>1985</v>
      </c>
      <c r="G51" s="5" t="inlineStr">
        <is>
          <t>its 9 unit group(s) were withheld (flagged for review, no bedroom count or no rent), so nothing could be quoted</t>
        </is>
      </c>
    </row>
    <row r="52">
      <c r="A52" s="5" t="inlineStr">
        <is>
          <t>CityScape at Lakeshore Apartments</t>
        </is>
      </c>
      <c r="B52" s="5" t="inlineStr">
        <is>
          <t>4630 S Lakeshore Dr, Tempe, AZ 85282-7164</t>
        </is>
      </c>
      <c r="C52" s="10" t="n">
        <v>1.35</v>
      </c>
      <c r="D52" s="7" t="n">
        <v>214</v>
      </c>
      <c r="E52" s="5" t="inlineStr">
        <is>
          <t>mf</t>
        </is>
      </c>
      <c r="F52" s="8" t="n">
        <v>1994</v>
      </c>
      <c r="G52" s="5" t="inlineStr">
        <is>
          <t>vintage 1994 is 13 years from the subject's 1981, outside the +/-10-year band</t>
        </is>
      </c>
    </row>
    <row r="53">
      <c r="A53" s="5" t="inlineStr">
        <is>
          <t>Harper</t>
        </is>
      </c>
      <c r="B53" s="5" t="inlineStr">
        <is>
          <t>4690 S Lakeshore Dr, Tempe, AZ 85282-7165</t>
        </is>
      </c>
      <c r="C53" s="10" t="n">
        <v>1.4</v>
      </c>
      <c r="D53" s="7" t="n">
        <v>367</v>
      </c>
      <c r="E53" s="5" t="inlineStr">
        <is>
          <t>mf</t>
        </is>
      </c>
      <c r="F53" s="8" t="n">
        <v>2017</v>
      </c>
      <c r="G53" s="5" t="inlineStr">
        <is>
          <t>vintage 2017 is 36 years from the subject's 1981, outside the +/-10-year band</t>
        </is>
      </c>
    </row>
    <row r="54">
      <c r="A54" s="5" t="inlineStr">
        <is>
          <t>Nines at Lakeside</t>
        </is>
      </c>
      <c r="B54" s="5" t="inlineStr">
        <is>
          <t>999 E Baseline Rd, Tempe, AZ 85283-1366</t>
        </is>
      </c>
      <c r="C54" s="10" t="n">
        <v>1.42</v>
      </c>
      <c r="D54" s="7" t="n">
        <v>244</v>
      </c>
      <c r="E54" s="5" t="inlineStr">
        <is>
          <t>mf</t>
        </is>
      </c>
      <c r="F54" s="8" t="n">
        <v>1974</v>
      </c>
      <c r="G54" s="5" t="inlineStr">
        <is>
          <t>outside the service's preselection of 20: its rents are tracked but no unit group was quoted for it, so it is listed nearby</t>
        </is>
      </c>
    </row>
    <row r="55">
      <c r="A55" s="5" t="inlineStr">
        <is>
          <t>The Pointe At South Mountain</t>
        </is>
      </c>
      <c r="B55" s="5" t="inlineStr">
        <is>
          <t>8809 S Pointe Pky E, Phoenix, AZ 85044-5779</t>
        </is>
      </c>
      <c r="C55" s="10" t="n">
        <v>1.45</v>
      </c>
      <c r="D55" s="7" t="n">
        <v>364</v>
      </c>
      <c r="E55" s="5" t="inlineStr">
        <is>
          <t>mf</t>
        </is>
      </c>
      <c r="F55" s="8" t="n">
        <v>1988</v>
      </c>
      <c r="G55" s="5" t="inlineStr">
        <is>
          <t>outside the service's preselection of 20: its rents are tracked but no unit group was quoted for it, so it is listed nearby</t>
        </is>
      </c>
    </row>
    <row r="56">
      <c r="A56" s="5" t="inlineStr">
        <is>
          <t>San Marino</t>
        </is>
      </c>
      <c r="B56" s="5" t="inlineStr">
        <is>
          <t>600 W Grove Pky, Tempe, AZ 85283</t>
        </is>
      </c>
      <c r="C56" s="10" t="n">
        <v>1.5</v>
      </c>
      <c r="D56" s="7" t="n">
        <v>329</v>
      </c>
      <c r="E56" s="5" t="inlineStr">
        <is>
          <t>mf</t>
        </is>
      </c>
      <c r="F56" s="8" t="n">
        <v>1996</v>
      </c>
      <c r="G56" s="5" t="inlineStr">
        <is>
          <t>vintage 1996 is 15 years from the subject's 1981, outside the +/-10-year band</t>
        </is>
      </c>
    </row>
    <row r="57">
      <c r="A57" s="5" t="inlineStr">
        <is>
          <t>San Paseo</t>
        </is>
      </c>
      <c r="B57" s="5" t="inlineStr">
        <is>
          <t>8050 S Pointe Pky W, Phoenix, AZ 85044-5418</t>
        </is>
      </c>
      <c r="C57" s="10" t="n">
        <v>1.54</v>
      </c>
      <c r="D57" s="7" t="n">
        <v>138</v>
      </c>
      <c r="E57" s="5" t="inlineStr">
        <is>
          <t>mf</t>
        </is>
      </c>
      <c r="F57" s="8" t="n">
        <v>2013</v>
      </c>
      <c r="G57" s="5" t="inlineStr">
        <is>
          <t>vintage 2013 is 32 years from the subject's 1981, outside the +/-10-year band</t>
        </is>
      </c>
    </row>
    <row r="58">
      <c r="A58" s="5" t="inlineStr">
        <is>
          <t>Garden Grove</t>
        </is>
      </c>
      <c r="B58" s="5" t="inlineStr">
        <is>
          <t>900 W Grove Pky, Tempe, AZ 85283</t>
        </is>
      </c>
      <c r="C58" s="10" t="n">
        <v>1.57</v>
      </c>
      <c r="D58" s="7" t="n">
        <v>376</v>
      </c>
      <c r="E58" s="5" t="inlineStr">
        <is>
          <t>mf</t>
        </is>
      </c>
      <c r="F58" s="8" t="n">
        <v>1988</v>
      </c>
      <c r="G58" s="5" t="inlineStr">
        <is>
          <t>outside the service's preselection of 20: its rents are tracked but no unit group was quoted for it, so it is listed nearby</t>
        </is>
      </c>
    </row>
    <row r="59">
      <c r="A59" s="5" t="inlineStr">
        <is>
          <t>Carlyle at South Mountain</t>
        </is>
      </c>
      <c r="B59" s="5" t="inlineStr">
        <is>
          <t>5151 E Guadalupe Rd, Phoenix, AZ 85044</t>
        </is>
      </c>
      <c r="C59" s="10" t="n">
        <v>1.64</v>
      </c>
      <c r="D59" s="7" t="n">
        <v>360</v>
      </c>
      <c r="E59" s="5" t="inlineStr">
        <is>
          <t>mf</t>
        </is>
      </c>
      <c r="F59" s="8" t="n">
        <v>1995</v>
      </c>
      <c r="G59" s="5" t="inlineStr">
        <is>
          <t>vintage 1995 is 14 years from the subject's 1981, outside the +/-10-year band</t>
        </is>
      </c>
    </row>
    <row r="60">
      <c r="A60" s="5" t="inlineStr">
        <is>
          <t>The Rev</t>
        </is>
      </c>
      <c r="B60" s="5" t="inlineStr">
        <is>
          <t>3409 S Rural Rd, Tempe, AZ 85282-5436</t>
        </is>
      </c>
      <c r="C60" s="10" t="n">
        <v>1.64</v>
      </c>
      <c r="D60" s="7" t="n">
        <v>172</v>
      </c>
      <c r="E60" s="5" t="inlineStr">
        <is>
          <t>mf</t>
        </is>
      </c>
      <c r="F60" s="8" t="n">
        <v>1972</v>
      </c>
      <c r="G60" s="5" t="inlineStr">
        <is>
          <t>outside the service's preselection of 20: its rents are tracked but no unit group was quoted for it, so it is listed nearby</t>
        </is>
      </c>
    </row>
    <row r="61">
      <c r="A61" s="5" t="inlineStr">
        <is>
          <t>Strada Apartments</t>
        </is>
      </c>
      <c r="B61" s="5" t="inlineStr">
        <is>
          <t>701 W Grove Pky, Tempe, AZ 85283-4501</t>
        </is>
      </c>
      <c r="C61" s="10" t="n">
        <v>1.7</v>
      </c>
      <c r="D61" s="7" t="n">
        <v>495</v>
      </c>
      <c r="E61" s="5" t="inlineStr">
        <is>
          <t>mf</t>
        </is>
      </c>
      <c r="F61" s="8" t="n">
        <v>1987</v>
      </c>
      <c r="G61" s="5" t="inlineStr">
        <is>
          <t>outside the service's preselection of 20: its rents are tracked but no unit group was quoted for it, so it is listed nearby</t>
        </is>
      </c>
    </row>
    <row r="62">
      <c r="A62" s="5" t="inlineStr">
        <is>
          <t>MAA Fountainhead</t>
        </is>
      </c>
      <c r="B62" s="5" t="inlineStr">
        <is>
          <t>2520 S Plaza Dr, Tempe, AZ 85282</t>
        </is>
      </c>
      <c r="C62" s="10" t="n">
        <v>1.78</v>
      </c>
      <c r="D62" s="7" t="n">
        <v>322</v>
      </c>
      <c r="E62" s="5" t="inlineStr">
        <is>
          <t>mf</t>
        </is>
      </c>
      <c r="F62" s="8" t="n">
        <v>2015</v>
      </c>
      <c r="G62" s="5" t="inlineStr">
        <is>
          <t>vintage 2015 is 34 years from the subject's 1981, outside the +/-10-year band</t>
        </is>
      </c>
    </row>
    <row r="63">
      <c r="A63" s="5" t="inlineStr">
        <is>
          <t>Cortland South Mountain</t>
        </is>
      </c>
      <c r="B63" s="5" t="inlineStr">
        <is>
          <t>7017 S Priest Dr, Tempe, AZ 85283-4337</t>
        </is>
      </c>
      <c r="C63" s="10" t="n">
        <v>1.8</v>
      </c>
      <c r="D63" s="7" t="n">
        <v>415</v>
      </c>
      <c r="E63" s="5" t="inlineStr">
        <is>
          <t>mf</t>
        </is>
      </c>
      <c r="F63" s="8" t="n">
        <v>2008</v>
      </c>
      <c r="G63" s="5" t="inlineStr">
        <is>
          <t>vintage 2008 is 27 years from the subject's 1981, outside the +/-10-year band</t>
        </is>
      </c>
    </row>
    <row r="64">
      <c r="A64" s="5" t="inlineStr">
        <is>
          <t>Allure at Tempe</t>
        </is>
      </c>
      <c r="B64" s="5" t="inlineStr">
        <is>
          <t>1155 W Grove Pky, Tempe, AZ 85283</t>
        </is>
      </c>
      <c r="C64" s="10" t="n">
        <v>1.85</v>
      </c>
      <c r="D64" s="7" t="n">
        <v>216</v>
      </c>
      <c r="E64" s="5" t="inlineStr">
        <is>
          <t>mf</t>
        </is>
      </c>
      <c r="F64" s="8" t="n">
        <v>1995</v>
      </c>
      <c r="G64" s="5" t="inlineStr">
        <is>
          <t>vintage 1995 is 14 years from the subject's 1981, outside the +/-10-year band</t>
        </is>
      </c>
    </row>
    <row r="65">
      <c r="A65" s="5" t="inlineStr">
        <is>
          <t>Finisterra on Grove</t>
        </is>
      </c>
      <c r="B65" s="5" t="inlineStr">
        <is>
          <t>1250 W Grove Pky, Tempe, AZ 85283-4435</t>
        </is>
      </c>
      <c r="C65" s="10" t="n">
        <v>1.88</v>
      </c>
      <c r="D65" s="7" t="n">
        <v>356</v>
      </c>
      <c r="E65" s="5" t="inlineStr">
        <is>
          <t>mf</t>
        </is>
      </c>
      <c r="F65" s="8" t="n">
        <v>1997</v>
      </c>
      <c r="G65" s="5" t="inlineStr">
        <is>
          <t>vintage 1997 is 16 years from the subject's 1981, outside the +/-10-year band</t>
        </is>
      </c>
    </row>
    <row r="66">
      <c r="A66" s="5" t="inlineStr">
        <is>
          <t>NOVO Broadway</t>
        </is>
      </c>
      <c r="B66" s="5" t="inlineStr">
        <is>
          <t>711 W Broadway Rd, Tempe, AZ 85282</t>
        </is>
      </c>
      <c r="C66" s="10" t="n">
        <v>1.93</v>
      </c>
      <c r="D66" s="7" t="n">
        <v>324</v>
      </c>
      <c r="E66" s="5" t="inlineStr">
        <is>
          <t>mf</t>
        </is>
      </c>
      <c r="F66" s="8" t="n">
        <v>2022</v>
      </c>
      <c r="G66" s="5" t="inlineStr">
        <is>
          <t>vintage 2022 is 41 years from the subject's 1981, outside the +/-10-year band</t>
        </is>
      </c>
    </row>
    <row r="67">
      <c r="A67" s="5" t="inlineStr">
        <is>
          <t>Rancho Ladera</t>
        </is>
      </c>
      <c r="B67" s="5" t="inlineStr">
        <is>
          <t>9605 S 48th St, Phoenix, AZ 85044-5666</t>
        </is>
      </c>
      <c r="C67" s="10" t="n">
        <v>1.97</v>
      </c>
      <c r="D67" s="7" t="n">
        <v>220</v>
      </c>
      <c r="E67" s="5" t="inlineStr">
        <is>
          <t>mf</t>
        </is>
      </c>
      <c r="F67" s="8" t="n">
        <v>1985</v>
      </c>
      <c r="G67" s="5" t="inlineStr">
        <is>
          <t>outside the service's preselection of 20: its rents are tracked but no unit group was quoted for it, so it is listed nearby</t>
        </is>
      </c>
    </row>
    <row r="68">
      <c r="A68" s="5" t="inlineStr">
        <is>
          <t>Carlyle Townhomes</t>
        </is>
      </c>
      <c r="B68" s="5" t="inlineStr">
        <is>
          <t>5102 E Piedmont Rd, Phoenix, AZ 85044-8610</t>
        </is>
      </c>
      <c r="C68" s="10" t="n">
        <v>1.99</v>
      </c>
      <c r="D68" s="7" t="n">
        <v>192</v>
      </c>
      <c r="E68" s="5" t="inlineStr">
        <is>
          <t>bfr</t>
        </is>
      </c>
      <c r="F68" s="8" t="n">
        <v>1997</v>
      </c>
      <c r="G68" s="5" t="inlineStr">
        <is>
          <t>different product: tracked as bfr, subject is MF</t>
        </is>
      </c>
    </row>
    <row r="69">
      <c r="A69" s="5" t="inlineStr">
        <is>
          <t>Shoreline at the Lakes</t>
        </is>
      </c>
      <c r="B69" s="5" t="inlineStr">
        <is>
          <t>1525 E Baseline Rd, Tempe, AZ 85283-1411</t>
        </is>
      </c>
      <c r="C69" s="10" t="n">
        <v>2.07</v>
      </c>
      <c r="D69" s="7" t="n">
        <v>153</v>
      </c>
      <c r="E69" s="5" t="inlineStr">
        <is>
          <t>mf</t>
        </is>
      </c>
      <c r="F69" s="8" t="n">
        <v>1978</v>
      </c>
      <c r="G69" s="5" t="inlineStr">
        <is>
          <t>outside the service's preselection of 20: its rents are tracked but no unit group was quoted for it, so it is listed nearby</t>
        </is>
      </c>
    </row>
    <row r="70">
      <c r="A70" s="5" t="inlineStr">
        <is>
          <t>San Capella</t>
        </is>
      </c>
      <c r="B70" s="5" t="inlineStr">
        <is>
          <t>1155 W Elliot Rd, Tempe, AZ 85284-1109</t>
        </is>
      </c>
      <c r="C70" s="10" t="n">
        <v>2.13</v>
      </c>
      <c r="D70" s="7" t="n">
        <v>384</v>
      </c>
      <c r="E70" s="5" t="inlineStr">
        <is>
          <t>mf</t>
        </is>
      </c>
      <c r="F70" s="8" t="n">
        <v>2013</v>
      </c>
      <c r="G70" s="5" t="inlineStr">
        <is>
          <t>vintage 2013 is 32 years from the subject's 1981, outside the +/-10-year band</t>
        </is>
      </c>
    </row>
    <row r="71">
      <c r="A71" s="5" t="inlineStr">
        <is>
          <t>The Palms at South Mountain</t>
        </is>
      </c>
      <c r="B71" s="5" t="inlineStr">
        <is>
          <t>4424 E Baseline Rd, Phoenix, AZ 85042</t>
        </is>
      </c>
      <c r="C71" s="10" t="n">
        <v>2.14</v>
      </c>
      <c r="D71" s="7" t="n">
        <v>528</v>
      </c>
      <c r="E71" s="5" t="inlineStr">
        <is>
          <t>mf</t>
        </is>
      </c>
      <c r="F71" s="8" t="n">
        <v>1986</v>
      </c>
      <c r="G71" s="5" t="inlineStr">
        <is>
          <t>outside the service's preselection of 20: its rents are tracked but no unit group was quoted for it, so it is listed nearby</t>
        </is>
      </c>
    </row>
    <row r="72">
      <c r="A72" s="5" t="inlineStr">
        <is>
          <t>The Halston</t>
        </is>
      </c>
      <c r="B72" s="5" t="inlineStr">
        <is>
          <t>1330 W Broadway Rd, Tempe, AZ 85282</t>
        </is>
      </c>
      <c r="C72" s="10" t="n">
        <v>2.16</v>
      </c>
      <c r="D72" s="7" t="n">
        <v>240</v>
      </c>
      <c r="E72" s="5" t="inlineStr">
        <is>
          <t>mf</t>
        </is>
      </c>
      <c r="F72" s="8" t="n">
        <v>1971</v>
      </c>
      <c r="G72" s="5" t="inlineStr">
        <is>
          <t>outside the service's preselection of 20: its rents are tracked but no unit group was quoted for it, so it is listed nearby</t>
        </is>
      </c>
    </row>
    <row r="73">
      <c r="A73" s="5" t="inlineStr">
        <is>
          <t>San Portella</t>
        </is>
      </c>
      <c r="B73" s="5" t="inlineStr">
        <is>
          <t>2155 S 55th St, Tempe, AZ 85282</t>
        </is>
      </c>
      <c r="C73" s="10" t="n">
        <v>2.17</v>
      </c>
      <c r="D73" s="7" t="n">
        <v>308</v>
      </c>
      <c r="E73" s="5" t="inlineStr">
        <is>
          <t>mf</t>
        </is>
      </c>
      <c r="F73" s="8" t="n">
        <v>2008</v>
      </c>
      <c r="G73" s="5" t="inlineStr">
        <is>
          <t>vintage 2008 is 27 years from the subject's 1981, outside the +/-10-year band</t>
        </is>
      </c>
    </row>
    <row r="74">
      <c r="A74" s="5" t="inlineStr">
        <is>
          <t>The Enclave</t>
        </is>
      </c>
      <c r="B74" s="5" t="inlineStr">
        <is>
          <t>3255 S Dorsey Ln, Tempe, AZ 85282</t>
        </is>
      </c>
      <c r="C74" s="10" t="n">
        <v>2.24</v>
      </c>
      <c r="D74" s="7" t="n">
        <v>204</v>
      </c>
      <c r="E74" s="5" t="inlineStr">
        <is>
          <t>mf</t>
        </is>
      </c>
      <c r="F74" s="8" t="n">
        <v>1994</v>
      </c>
      <c r="G74" s="5" t="inlineStr">
        <is>
          <t>vintage 1994 is 13 years from the subject's 1981, outside the +/-10-year band</t>
        </is>
      </c>
    </row>
    <row r="75">
      <c r="A75" s="5" t="inlineStr">
        <is>
          <t>Eastridge Apartments</t>
        </is>
      </c>
      <c r="B75" s="5" t="inlineStr">
        <is>
          <t>1522 E Southern Ave, Tempe, AZ 85282</t>
        </is>
      </c>
      <c r="C75" s="10" t="n">
        <v>2.4</v>
      </c>
      <c r="D75" s="7" t="n">
        <v>334</v>
      </c>
      <c r="E75" s="5" t="inlineStr">
        <is>
          <t>mf</t>
        </is>
      </c>
      <c r="F75" s="8" t="n">
        <v>1981</v>
      </c>
      <c r="G75" s="5" t="inlineStr">
        <is>
          <t>excluded from comp sets by the tracker: student</t>
        </is>
      </c>
    </row>
    <row r="76">
      <c r="A76" s="5" t="inlineStr">
        <is>
          <t>The Quinn</t>
        </is>
      </c>
      <c r="B76" s="5" t="inlineStr">
        <is>
          <t>5121 E La Puente Ave, Phoenix, AZ 85044</t>
        </is>
      </c>
      <c r="C76" s="10" t="n">
        <v>2.41</v>
      </c>
      <c r="D76" s="7" t="n">
        <v>110</v>
      </c>
      <c r="E76" s="5" t="inlineStr">
        <is>
          <t>mf</t>
        </is>
      </c>
      <c r="F76" s="8" t="n">
        <v>2026</v>
      </c>
      <c r="G76" s="5" t="inlineStr">
        <is>
          <t>vintage 2026 is 45 years from the subject's 1981, outside the +/-10-year band</t>
        </is>
      </c>
    </row>
    <row r="77">
      <c r="A77" s="5" t="inlineStr">
        <is>
          <t>Talavera</t>
        </is>
      </c>
      <c r="B77" s="5" t="inlineStr">
        <is>
          <t>3501 S McClintock Dr, Tempe, AZ 85282-5871</t>
        </is>
      </c>
      <c r="C77" s="10" t="n">
        <v>2.52</v>
      </c>
      <c r="D77" s="7" t="n">
        <v>144</v>
      </c>
      <c r="E77" s="5" t="inlineStr">
        <is>
          <t>mf</t>
        </is>
      </c>
      <c r="F77" s="8" t="n">
        <v>1984</v>
      </c>
      <c r="G77" s="5" t="inlineStr">
        <is>
          <t>outside the service's preselection of 20: its rents are tracked but no unit group was quoted for it, so it is listed nearby</t>
        </is>
      </c>
    </row>
    <row r="78">
      <c r="A78" s="5" t="inlineStr">
        <is>
          <t>Elevate at Discovery Park</t>
        </is>
      </c>
      <c r="B78" s="5" t="inlineStr">
        <is>
          <t>1820 E Bell De Mar Rd, Tempe, AZ 85283-4198</t>
        </is>
      </c>
      <c r="C78" s="10" t="n">
        <v>2.56</v>
      </c>
      <c r="D78" s="7" t="n">
        <v>379</v>
      </c>
      <c r="E78" s="5" t="inlineStr">
        <is>
          <t>mf</t>
        </is>
      </c>
      <c r="F78" s="8" t="n">
        <v>1984</v>
      </c>
      <c r="G78" s="5" t="inlineStr">
        <is>
          <t>outside the service's preselection of 20: its rents are tracked but no unit group was quoted for it, so it is listed nearby</t>
        </is>
      </c>
    </row>
    <row r="79">
      <c r="A79" s="5" t="inlineStr">
        <is>
          <t>Volta on Broadway</t>
        </is>
      </c>
      <c r="B79" s="5" t="inlineStr">
        <is>
          <t>1221 E Broadway Rd, Tempe, AZ 85282-1543</t>
        </is>
      </c>
      <c r="C79" s="10" t="n">
        <v>2.61</v>
      </c>
      <c r="D79" s="7" t="n">
        <v>194</v>
      </c>
      <c r="E79" s="5" t="inlineStr">
        <is>
          <t>mf</t>
        </is>
      </c>
      <c r="F79" s="8" t="n">
        <v>2016</v>
      </c>
      <c r="G79" s="5" t="inlineStr">
        <is>
          <t>vintage 2016 is 35 years from the subject's 1981, outside the +/-10-year band</t>
        </is>
      </c>
    </row>
    <row r="80">
      <c r="A80" s="5" t="inlineStr">
        <is>
          <t>Serafina</t>
        </is>
      </c>
      <c r="B80" s="5" t="inlineStr">
        <is>
          <t>11025 S 51st St, Phoenix, AZ 85044</t>
        </is>
      </c>
      <c r="C80" s="10" t="n">
        <v>2.64</v>
      </c>
      <c r="D80" s="7" t="n">
        <v>183</v>
      </c>
      <c r="E80" s="5" t="inlineStr">
        <is>
          <t>mf</t>
        </is>
      </c>
      <c r="F80" s="8" t="n">
        <v>1985</v>
      </c>
      <c r="G80" s="5" t="inlineStr">
        <is>
          <t>outside the service's preselection of 20: its rents are tracked but no unit group was quoted for it, so it is listed nearby</t>
        </is>
      </c>
    </row>
    <row r="81">
      <c r="A81" s="5" t="inlineStr">
        <is>
          <t>IMT Desert Palm Village</t>
        </is>
      </c>
      <c r="B81" s="5" t="inlineStr">
        <is>
          <t>1215 E Vista Del Cerro Dr, Tempe, AZ 85281</t>
        </is>
      </c>
      <c r="C81" s="10" t="n">
        <v>2.67</v>
      </c>
      <c r="D81" s="7" t="n">
        <v>512</v>
      </c>
      <c r="E81" s="5" t="inlineStr">
        <is>
          <t>mf</t>
        </is>
      </c>
      <c r="F81" s="8" t="n">
        <v>1980</v>
      </c>
      <c r="G81" s="5" t="inlineStr">
        <is>
          <t>outside the service's preselection of 20: its rents are tracked but no unit group was quoted for it, so it is listed nearby</t>
        </is>
      </c>
    </row>
    <row r="82">
      <c r="A82" s="5" t="inlineStr">
        <is>
          <t>Pacific Bay Club</t>
        </is>
      </c>
      <c r="B82" s="5" t="inlineStr">
        <is>
          <t>11221 S 51st St, Phoenix, AZ 85044</t>
        </is>
      </c>
      <c r="C82" s="10" t="n">
        <v>2.76</v>
      </c>
      <c r="D82" s="7" t="n">
        <v>192</v>
      </c>
      <c r="E82" s="5" t="inlineStr">
        <is>
          <t>mf</t>
        </is>
      </c>
      <c r="F82" s="8" t="n">
        <v>1988</v>
      </c>
      <c r="G82" s="5" t="inlineStr">
        <is>
          <t>outside the service's preselection of 20: its rents are tracked but no unit group was quoted for it, so it is listed nearby</t>
        </is>
      </c>
    </row>
    <row r="83">
      <c r="A83" s="5" t="inlineStr">
        <is>
          <t>IMT Ahwatukee</t>
        </is>
      </c>
      <c r="B83" s="5" t="inlineStr">
        <is>
          <t>5010 E Cheyenne Dr, Phoenix, AZ 85044</t>
        </is>
      </c>
      <c r="C83" s="10" t="n">
        <v>2.77</v>
      </c>
      <c r="D83" s="7" t="n">
        <v>250</v>
      </c>
      <c r="E83" s="5" t="inlineStr">
        <is>
          <t>mf</t>
        </is>
      </c>
      <c r="F83" s="8" t="n">
        <v>1989</v>
      </c>
      <c r="G83" s="5" t="inlineStr">
        <is>
          <t>outside the service's preselection of 20: its rents are tracked but no unit group was quoted for it, so it is listed nearby</t>
        </is>
      </c>
    </row>
    <row r="84">
      <c r="A84" s="5" t="inlineStr">
        <is>
          <t>Obsidian at South Mountain</t>
        </is>
      </c>
      <c r="B84" s="5" t="inlineStr">
        <is>
          <t>6250 S 40th St, Phoenix, AZ 85042-5272</t>
        </is>
      </c>
      <c r="C84" s="10" t="n">
        <v>2.82</v>
      </c>
      <c r="D84" s="7" t="n">
        <v>166</v>
      </c>
      <c r="E84" s="5" t="inlineStr">
        <is>
          <t>bfr</t>
        </is>
      </c>
      <c r="F84" s="12" t="n"/>
      <c r="G84" s="5" t="inlineStr">
        <is>
          <t>different product: tracked as bfr, subject is MF</t>
        </is>
      </c>
    </row>
    <row r="85">
      <c r="A85" s="5" t="inlineStr">
        <is>
          <t>Murietta at ASU</t>
        </is>
      </c>
      <c r="B85" s="5" t="inlineStr">
        <is>
          <t>1717 S Dorsey Ln, Tempe, AZ 85281</t>
        </is>
      </c>
      <c r="C85" s="10" t="n">
        <v>2.91</v>
      </c>
      <c r="D85" s="7" t="n">
        <v>292</v>
      </c>
      <c r="E85" s="5" t="inlineStr">
        <is>
          <t>mf</t>
        </is>
      </c>
      <c r="F85" s="8" t="n">
        <v>1986</v>
      </c>
      <c r="G85" s="5" t="inlineStr">
        <is>
          <t>outside the service's preselection of 20: its rents are tracked but no unit group was quoted for it, so it is listed nearby</t>
        </is>
      </c>
    </row>
    <row r="86">
      <c r="A86" s="5" t="inlineStr">
        <is>
          <t>Ascent On Spence</t>
        </is>
      </c>
      <c r="B86" s="5" t="inlineStr">
        <is>
          <t>1249 E Spence Ave, Tempe, AZ 85281</t>
        </is>
      </c>
      <c r="C86" s="10" t="n">
        <v>2.95</v>
      </c>
      <c r="D86" s="7" t="n">
        <v>112</v>
      </c>
      <c r="E86" s="5" t="inlineStr">
        <is>
          <t>mf</t>
        </is>
      </c>
      <c r="F86" s="8" t="n">
        <v>1986</v>
      </c>
      <c r="G86" s="5" t="inlineStr">
        <is>
          <t>outside the service's preselection of 20: its rents are tracked but no unit group was quoted for it, so it is listed nearby</t>
        </is>
      </c>
    </row>
    <row r="87">
      <c r="A87" s="5" t="inlineStr">
        <is>
          <t>Rambler Tempe</t>
        </is>
      </c>
      <c r="B87" s="5" t="inlineStr">
        <is>
          <t>1020 E Apache Blvd, Tempe, AZ 85281-5489</t>
        </is>
      </c>
      <c r="C87" s="10" t="n">
        <v>2.96</v>
      </c>
      <c r="D87" s="7" t="n">
        <v>289</v>
      </c>
      <c r="E87" s="5" t="inlineStr">
        <is>
          <t>mf</t>
        </is>
      </c>
      <c r="F87" s="8" t="n">
        <v>2026</v>
      </c>
      <c r="G87" s="5" t="inlineStr">
        <is>
          <t>excluded from comp sets by the tracker: student</t>
        </is>
      </c>
    </row>
    <row r="88">
      <c r="A88" s="5" t="inlineStr">
        <is>
          <t>Onnix</t>
        </is>
      </c>
      <c r="B88" s="5" t="inlineStr">
        <is>
          <t>1500 E Broadway Rd, Tempe, AZ 85282-1640</t>
        </is>
      </c>
      <c r="C88" s="10" t="n">
        <v>2.98</v>
      </c>
      <c r="D88" s="7" t="n">
        <v>660</v>
      </c>
      <c r="E88" s="5" t="inlineStr">
        <is>
          <t>mf</t>
        </is>
      </c>
      <c r="F88" s="8" t="n">
        <v>1984</v>
      </c>
      <c r="G88" s="5" t="inlineStr">
        <is>
          <t>outside the service's preselection of 20: its rents are tracked but no unit group was quoted for it, so it is listed nearby</t>
        </is>
      </c>
    </row>
    <row r="89">
      <c r="A89" s="5" t="inlineStr">
        <is>
          <t>Sterling Point Apartments</t>
        </is>
      </c>
      <c r="B89" s="5" t="inlineStr">
        <is>
          <t>3802 E Baseline Rd, Phoenix, AZ 85042-7205</t>
        </is>
      </c>
      <c r="C89" s="10" t="n">
        <v>3.01</v>
      </c>
      <c r="D89" s="7" t="n">
        <v>300</v>
      </c>
      <c r="E89" s="5" t="inlineStr">
        <is>
          <t>mf</t>
        </is>
      </c>
      <c r="F89" s="8" t="n">
        <v>1995</v>
      </c>
      <c r="G89" s="5" t="inlineStr">
        <is>
          <t>excluded from comp sets by the tracker: income_restricted</t>
        </is>
      </c>
    </row>
    <row r="90">
      <c r="A90" s="5" t="inlineStr">
        <is>
          <t>Nexa Apartments</t>
        </is>
      </c>
      <c r="B90" s="5" t="inlineStr">
        <is>
          <t>1205-1221 E Apache Blvd, Tempe, AZ 85281</t>
        </is>
      </c>
      <c r="C90" s="10" t="n">
        <v>3.05</v>
      </c>
      <c r="D90" s="7" t="n">
        <v>399</v>
      </c>
      <c r="E90" s="5" t="inlineStr">
        <is>
          <t>mf</t>
        </is>
      </c>
      <c r="F90" s="8" t="n">
        <v>2017</v>
      </c>
      <c r="G90" s="5" t="inlineStr">
        <is>
          <t>vintage 2017 is 36 years from the subject's 1981, outside the +/-10-year band</t>
        </is>
      </c>
    </row>
    <row r="91">
      <c r="A91" s="5" t="inlineStr">
        <is>
          <t>Hudson on Farmer</t>
        </is>
      </c>
      <c r="B91" s="5" t="inlineStr">
        <is>
          <t>707 S Farmer Ave, Tempe, AZ 85281</t>
        </is>
      </c>
      <c r="C91" s="10" t="n">
        <v>3.06</v>
      </c>
      <c r="D91" s="7" t="n">
        <v>171</v>
      </c>
      <c r="E91" s="5" t="inlineStr">
        <is>
          <t>mf</t>
        </is>
      </c>
      <c r="F91" s="8" t="n">
        <v>2021</v>
      </c>
      <c r="G91" s="5" t="inlineStr">
        <is>
          <t>vintage 2021 is 40 years from the subject's 1981, outside the +/-10-year band</t>
        </is>
      </c>
    </row>
    <row r="92">
      <c r="A92" s="5" t="inlineStr">
        <is>
          <t>The Local</t>
        </is>
      </c>
      <c r="B92" s="5" t="inlineStr">
        <is>
          <t>750 S Ash Ave, Tempe, AZ 85281</t>
        </is>
      </c>
      <c r="C92" s="10" t="n">
        <v>3.08</v>
      </c>
      <c r="D92" s="7" t="n">
        <v>286</v>
      </c>
      <c r="E92" s="5" t="inlineStr">
        <is>
          <t>mf</t>
        </is>
      </c>
      <c r="F92" s="8" t="n">
        <v>2019</v>
      </c>
      <c r="G92" s="5" t="inlineStr">
        <is>
          <t>vintage 2019 is 38 years from the subject's 1981, outside the +/-10-year band</t>
        </is>
      </c>
    </row>
    <row r="93">
      <c r="A93" s="5" t="inlineStr">
        <is>
          <t>Cortland at Raven</t>
        </is>
      </c>
      <c r="B93" s="5" t="inlineStr">
        <is>
          <t>3606 E Baseline Rd, Phoenix, AZ 85042-7202</t>
        </is>
      </c>
      <c r="C93" s="10" t="n">
        <v>3.09</v>
      </c>
      <c r="D93" s="7" t="n">
        <v>192</v>
      </c>
      <c r="E93" s="5" t="inlineStr">
        <is>
          <t>mf</t>
        </is>
      </c>
      <c r="F93" s="8" t="n">
        <v>2002</v>
      </c>
      <c r="G93" s="5" t="inlineStr">
        <is>
          <t>vintage 2002 is 21 years from the subject's 1981, outside the +/-10-year band</t>
        </is>
      </c>
    </row>
    <row r="94">
      <c r="A94" s="5" t="inlineStr">
        <is>
          <t>Grandes Cortes Apartments</t>
        </is>
      </c>
      <c r="B94" s="5" t="inlineStr">
        <is>
          <t>1150 W University Dr, Tempe, AZ 85281-3339</t>
        </is>
      </c>
      <c r="C94" s="10" t="n">
        <v>3.09</v>
      </c>
      <c r="D94" s="7" t="n">
        <v>151</v>
      </c>
      <c r="E94" s="5" t="inlineStr">
        <is>
          <t>mf</t>
        </is>
      </c>
      <c r="F94" s="8" t="n">
        <v>1980</v>
      </c>
      <c r="G94" s="5" t="inlineStr">
        <is>
          <t>outside the service's preselection of 20: its rents are tracked but no unit group was quoted for it, so it is listed nearby</t>
        </is>
      </c>
    </row>
    <row r="95">
      <c r="A95" s="5" t="inlineStr">
        <is>
          <t>San Marbeya</t>
        </is>
      </c>
      <c r="B95" s="5" t="inlineStr">
        <is>
          <t>1720 E Broadway Rd, Tempe, AZ 85282-1577</t>
        </is>
      </c>
      <c r="C95" s="10" t="n">
        <v>3.1</v>
      </c>
      <c r="D95" s="7" t="n">
        <v>276</v>
      </c>
      <c r="E95" s="5" t="inlineStr">
        <is>
          <t>mf</t>
        </is>
      </c>
      <c r="F95" s="8" t="n">
        <v>2000</v>
      </c>
      <c r="G95" s="5" t="inlineStr">
        <is>
          <t>vintage 2000 is 19 years from the subject's 1981, outside the +/-10-year band</t>
        </is>
      </c>
    </row>
    <row r="96">
      <c r="A96" s="5" t="inlineStr">
        <is>
          <t>Studio 710</t>
        </is>
      </c>
      <c r="B96" s="5" t="inlineStr">
        <is>
          <t>710 S Hardy Dr, Tempe, AZ 85281</t>
        </is>
      </c>
      <c r="C96" s="10" t="n">
        <v>3.11</v>
      </c>
      <c r="D96" s="7" t="n">
        <v>239</v>
      </c>
      <c r="E96" s="5" t="inlineStr">
        <is>
          <t>mf</t>
        </is>
      </c>
      <c r="F96" s="8" t="n">
        <v>1975</v>
      </c>
      <c r="G96" s="5" t="inlineStr">
        <is>
          <t>outside the service's preselection of 20: its rents are tracked but no unit group was quoted for it, so it is listed nearby</t>
        </is>
      </c>
    </row>
    <row r="97">
      <c r="A97" s="5" t="inlineStr">
        <is>
          <t>Alexan Tempe</t>
        </is>
      </c>
      <c r="B97" s="5" t="inlineStr">
        <is>
          <t>2160 E Baseline Rd, Tempe, AZ 85282</t>
        </is>
      </c>
      <c r="C97" s="10" t="n">
        <v>3.12</v>
      </c>
      <c r="D97" s="7" t="n">
        <v>200</v>
      </c>
      <c r="E97" s="5" t="inlineStr">
        <is>
          <t>mf</t>
        </is>
      </c>
      <c r="F97" s="8" t="n">
        <v>2023</v>
      </c>
      <c r="G97" s="5" t="inlineStr">
        <is>
          <t>vintage 2023 is 42 years from the subject's 1981, outside the +/-10-year band</t>
        </is>
      </c>
    </row>
    <row r="98">
      <c r="A98" s="5" t="inlineStr">
        <is>
          <t>Westmount at Downtown Tempe</t>
        </is>
      </c>
      <c r="B98" s="5" t="inlineStr">
        <is>
          <t>615 S Hardy Dr, Tempe, AZ 85281</t>
        </is>
      </c>
      <c r="C98" s="10" t="n">
        <v>3.16</v>
      </c>
      <c r="D98" s="7" t="n">
        <v>227</v>
      </c>
      <c r="E98" s="5" t="inlineStr">
        <is>
          <t>mf</t>
        </is>
      </c>
      <c r="F98" s="8" t="n">
        <v>1971</v>
      </c>
      <c r="G98" s="5" t="inlineStr">
        <is>
          <t>outside the service's preselection of 20: its rents are tracked but no unit group was quoted for it, so it is listed nearby</t>
        </is>
      </c>
    </row>
    <row r="99">
      <c r="A99" s="5" t="inlineStr">
        <is>
          <t>MadEry Apartments</t>
        </is>
      </c>
      <c r="B99" s="5" t="inlineStr">
        <is>
          <t>1865 E Broadway Rd, Tempe, AZ 85282</t>
        </is>
      </c>
      <c r="C99" s="10" t="n">
        <v>3.17</v>
      </c>
      <c r="D99" s="7" t="n">
        <v>262</v>
      </c>
      <c r="E99" s="5" t="inlineStr">
        <is>
          <t>mf</t>
        </is>
      </c>
      <c r="F99" s="8" t="n">
        <v>1972</v>
      </c>
      <c r="G99" s="5" t="inlineStr">
        <is>
          <t>outside the service's preselection of 20: its rents are tracked but no unit group was quoted for it, so it is listed nearby</t>
        </is>
      </c>
    </row>
    <row r="100">
      <c r="A100" s="5" t="inlineStr">
        <is>
          <t>Portola South Mountain</t>
        </is>
      </c>
      <c r="B100" s="5" t="inlineStr">
        <is>
          <t>7611 S 36th St, Phoenix, AZ 85042</t>
        </is>
      </c>
      <c r="C100" s="10" t="n">
        <v>3.24</v>
      </c>
      <c r="D100" s="7" t="n">
        <v>134</v>
      </c>
      <c r="E100" s="5" t="inlineStr">
        <is>
          <t>mf</t>
        </is>
      </c>
      <c r="F100" s="8" t="n">
        <v>1999</v>
      </c>
      <c r="G100" s="5" t="inlineStr">
        <is>
          <t>vintage 1999 is 18 years from the subject's 1981, outside the +/-10-year band</t>
        </is>
      </c>
    </row>
    <row r="101">
      <c r="A101" s="5" t="inlineStr">
        <is>
          <t>Emerson Mill Avenue</t>
        </is>
      </c>
      <c r="B101" s="5" t="inlineStr">
        <is>
          <t>101 W 5th St, Tempe, AZ 85281</t>
        </is>
      </c>
      <c r="C101" s="10" t="n">
        <v>3.26</v>
      </c>
      <c r="D101" s="7" t="n">
        <v>341</v>
      </c>
      <c r="E101" s="5" t="inlineStr">
        <is>
          <t>mf</t>
        </is>
      </c>
      <c r="F101" s="8" t="n">
        <v>2015</v>
      </c>
      <c r="G101" s="5" t="inlineStr">
        <is>
          <t>vintage 2015 is 34 years from the subject's 1981, outside the +/-10-year band</t>
        </is>
      </c>
    </row>
    <row r="102">
      <c r="A102" s="5" t="inlineStr">
        <is>
          <t>Dwell @ 5th and Farmer</t>
        </is>
      </c>
      <c r="B102" s="5" t="inlineStr">
        <is>
          <t>426 W 5th St, Tempe, AZ 85281</t>
        </is>
      </c>
      <c r="C102" s="10" t="n">
        <v>3.3</v>
      </c>
      <c r="D102" s="7" t="n">
        <v>129</v>
      </c>
      <c r="E102" s="5" t="inlineStr">
        <is>
          <t>mf</t>
        </is>
      </c>
      <c r="F102" s="8" t="n">
        <v>2024</v>
      </c>
      <c r="G102" s="5" t="inlineStr">
        <is>
          <t>vintage 2024 is 43 years from the subject's 1981, outside the +/-10-year band</t>
        </is>
      </c>
    </row>
    <row r="103">
      <c r="A103" s="5" t="inlineStr">
        <is>
          <t>San Sonoma</t>
        </is>
      </c>
      <c r="B103" s="5" t="inlineStr">
        <is>
          <t>9010 S Priest Dr, Tempe, AZ 85284</t>
        </is>
      </c>
      <c r="C103" s="10" t="n">
        <v>3.35</v>
      </c>
      <c r="D103" s="7" t="n">
        <v>590</v>
      </c>
      <c r="E103" s="5" t="inlineStr">
        <is>
          <t>mf</t>
        </is>
      </c>
      <c r="F103" s="8" t="n">
        <v>2015</v>
      </c>
      <c r="G103" s="5" t="inlineStr">
        <is>
          <t>vintage 2015 is 34 years from the subject's 1981, outside the +/-10-year band</t>
        </is>
      </c>
    </row>
    <row r="104">
      <c r="A104" s="5" t="inlineStr">
        <is>
          <t>Vero</t>
        </is>
      </c>
      <c r="B104" s="5" t="inlineStr">
        <is>
          <t>651 E 6th St, Tempe, AZ 85281</t>
        </is>
      </c>
      <c r="C104" s="10" t="n">
        <v>3.36</v>
      </c>
      <c r="D104" s="7" t="n">
        <v>199</v>
      </c>
      <c r="E104" s="5" t="inlineStr">
        <is>
          <t>mf</t>
        </is>
      </c>
      <c r="F104" s="8" t="n">
        <v>2024</v>
      </c>
      <c r="G104" s="5" t="inlineStr">
        <is>
          <t>vintage 2024 is 43 years from the subject's 1981, outside the +/-10-year band</t>
        </is>
      </c>
    </row>
    <row r="105">
      <c r="A105" s="5" t="inlineStr">
        <is>
          <t>Paseo on University</t>
        </is>
      </c>
      <c r="B105" s="5" t="inlineStr">
        <is>
          <t>1255 E University Dr, Tempe, AZ 85281</t>
        </is>
      </c>
      <c r="C105" s="10" t="n">
        <v>3.38</v>
      </c>
      <c r="D105" s="7" t="n">
        <v>510</v>
      </c>
      <c r="E105" s="5" t="inlineStr">
        <is>
          <t>mf</t>
        </is>
      </c>
      <c r="F105" s="8" t="n">
        <v>1987</v>
      </c>
      <c r="G105" s="5" t="inlineStr">
        <is>
          <t>excluded from comp sets by the tracker: student</t>
        </is>
      </c>
    </row>
    <row r="106">
      <c r="A106" s="5" t="inlineStr">
        <is>
          <t>Mira Tempe</t>
        </is>
      </c>
      <c r="B106" s="5" t="inlineStr">
        <is>
          <t>655 S Rural Rd, Tempe, AZ 85288</t>
        </is>
      </c>
      <c r="C106" s="10" t="n">
        <v>3.44</v>
      </c>
      <c r="D106" s="7" t="n">
        <v>333</v>
      </c>
      <c r="E106" s="5" t="inlineStr">
        <is>
          <t>mf</t>
        </is>
      </c>
      <c r="F106" s="8" t="n">
        <v>2025</v>
      </c>
      <c r="G106" s="5" t="inlineStr">
        <is>
          <t>vintage 2025 is 44 years from the subject's 1981, outside the +/-10-year band</t>
        </is>
      </c>
    </row>
    <row r="107">
      <c r="A107" s="5" t="inlineStr">
        <is>
          <t>Salado Springs</t>
        </is>
      </c>
      <c r="B107" s="5" t="inlineStr">
        <is>
          <t>242 S Beck Ave, Tempe, AZ 85281</t>
        </is>
      </c>
      <c r="C107" s="10" t="n">
        <v>3.47</v>
      </c>
      <c r="D107" s="7" t="n">
        <v>144</v>
      </c>
      <c r="E107" s="5" t="inlineStr">
        <is>
          <t>mf</t>
        </is>
      </c>
      <c r="F107" s="8" t="n">
        <v>1986</v>
      </c>
      <c r="G107" s="5" t="inlineStr">
        <is>
          <t>outside the service's preselection of 20: its rents are tracked but no unit group was quoted for it, so it is listed nearby</t>
        </is>
      </c>
    </row>
    <row r="108">
      <c r="A108" s="5" t="inlineStr">
        <is>
          <t>Tempe Vista</t>
        </is>
      </c>
      <c r="B108" s="5" t="inlineStr">
        <is>
          <t>2045 E Broadway Rd, Tempe, AZ 85282</t>
        </is>
      </c>
      <c r="C108" s="10" t="n">
        <v>3.49</v>
      </c>
      <c r="D108" s="7" t="n">
        <v>186</v>
      </c>
      <c r="E108" s="5" t="inlineStr">
        <is>
          <t>mf</t>
        </is>
      </c>
      <c r="F108" s="8" t="n">
        <v>1973</v>
      </c>
      <c r="G108" s="5" t="inlineStr">
        <is>
          <t>outside the service's preselection of 20: its rents are tracked but no unit group was quoted for it, so it is listed nearby</t>
        </is>
      </c>
    </row>
    <row r="109">
      <c r="A109" s="5" t="inlineStr">
        <is>
          <t>Aura Apache</t>
        </is>
      </c>
      <c r="B109" s="5" t="inlineStr">
        <is>
          <t>1820 E Apache Blvd, Tempe, AZ 85281-6006</t>
        </is>
      </c>
      <c r="C109" s="10" t="n">
        <v>3.51</v>
      </c>
      <c r="D109" s="7" t="n">
        <v>295</v>
      </c>
      <c r="E109" s="5" t="inlineStr">
        <is>
          <t>mf</t>
        </is>
      </c>
      <c r="F109" s="8" t="n">
        <v>2024</v>
      </c>
      <c r="G109" s="5" t="inlineStr">
        <is>
          <t>vintage 2024 is 43 years from the subject's 1981, outside the +/-10-year band</t>
        </is>
      </c>
    </row>
    <row r="110">
      <c r="A110" s="5" t="inlineStr">
        <is>
          <t>The Hyve</t>
        </is>
      </c>
      <c r="B110" s="5" t="inlineStr">
        <is>
          <t>1260 E University Dr, Tempe, AZ 85281</t>
        </is>
      </c>
      <c r="C110" s="10" t="n">
        <v>3.53</v>
      </c>
      <c r="D110" s="7" t="n">
        <v>296</v>
      </c>
      <c r="E110" s="5" t="inlineStr">
        <is>
          <t>mf</t>
        </is>
      </c>
      <c r="F110" s="8" t="n">
        <v>2015</v>
      </c>
      <c r="G110" s="5" t="inlineStr">
        <is>
          <t>vintage 2015 is 34 years from the subject's 1981, outside the +/-10-year band</t>
        </is>
      </c>
    </row>
    <row r="111">
      <c r="A111" s="5" t="inlineStr">
        <is>
          <t>Trovita Rio</t>
        </is>
      </c>
      <c r="B111" s="5" t="inlineStr">
        <is>
          <t>701 W Rio Salado Pky, Tempe, AZ 85281-3739</t>
        </is>
      </c>
      <c r="C111" s="10" t="n">
        <v>3.56</v>
      </c>
      <c r="D111" s="7" t="n">
        <v>209</v>
      </c>
      <c r="E111" s="5" t="inlineStr">
        <is>
          <t>mf</t>
        </is>
      </c>
      <c r="F111" s="8" t="n">
        <v>2019</v>
      </c>
      <c r="G111" s="5" t="inlineStr">
        <is>
          <t>vintage 2019 is 38 years from the subject's 1981, outside the +/-10-year band</t>
        </is>
      </c>
    </row>
    <row r="112">
      <c r="A112" s="5" t="inlineStr">
        <is>
          <t>Emerson Square</t>
        </is>
      </c>
      <c r="B112" s="5" t="inlineStr">
        <is>
          <t>1701 E 8th St, Tempe, AZ 85281-8101</t>
        </is>
      </c>
      <c r="C112" s="10" t="n">
        <v>3.58</v>
      </c>
      <c r="D112" s="7" t="n">
        <v>188</v>
      </c>
      <c r="E112" s="5" t="inlineStr">
        <is>
          <t>mf</t>
        </is>
      </c>
      <c r="F112" s="8" t="n">
        <v>1985</v>
      </c>
      <c r="G112" s="5" t="inlineStr">
        <is>
          <t>outside the service's preselection of 20: its rents are tracked but no unit group was quoted for it, so it is listed nearby</t>
        </is>
      </c>
    </row>
    <row r="113">
      <c r="A113" s="5" t="inlineStr">
        <is>
          <t>Willowcreek</t>
        </is>
      </c>
      <c r="B113" s="5" t="inlineStr">
        <is>
          <t>2020 E Broadway Rd, Tempe, AZ 85282-1755</t>
        </is>
      </c>
      <c r="C113" s="10" t="n">
        <v>3.58</v>
      </c>
      <c r="D113" s="7" t="n">
        <v>402</v>
      </c>
      <c r="E113" s="5" t="inlineStr">
        <is>
          <t>mf</t>
        </is>
      </c>
      <c r="F113" s="8" t="n">
        <v>1983</v>
      </c>
      <c r="G113" s="5" t="inlineStr">
        <is>
          <t>outside the service's preselection of 20: its rents are tracked but no unit group was quoted for it, so it is listed nearby</t>
        </is>
      </c>
    </row>
    <row r="114">
      <c r="A114" s="5" t="inlineStr">
        <is>
          <t>Skywater at Tempe Town Lake</t>
        </is>
      </c>
      <c r="B114" s="5" t="inlineStr">
        <is>
          <t>601 W Rio Salado Pky, Tempe, AZ 85281</t>
        </is>
      </c>
      <c r="C114" s="10" t="n">
        <v>3.59</v>
      </c>
      <c r="D114" s="7" t="n">
        <v>328</v>
      </c>
      <c r="E114" s="5" t="inlineStr">
        <is>
          <t>mf</t>
        </is>
      </c>
      <c r="F114" s="8" t="n">
        <v>2014</v>
      </c>
      <c r="G114" s="5" t="inlineStr">
        <is>
          <t>vintage 2014 is 33 years from the subject's 1981, outside the +/-10-year band</t>
        </is>
      </c>
    </row>
    <row r="115">
      <c r="A115" s="5" t="inlineStr">
        <is>
          <t>Lakeside Drive Apartments</t>
        </is>
      </c>
      <c r="B115" s="5" t="inlineStr">
        <is>
          <t>500 W 1st St, Tempe, AZ 85281-0313</t>
        </is>
      </c>
      <c r="C115" s="10" t="n">
        <v>3.6</v>
      </c>
      <c r="D115" s="7" t="n">
        <v>150</v>
      </c>
      <c r="E115" s="5" t="inlineStr">
        <is>
          <t>mf</t>
        </is>
      </c>
      <c r="F115" s="8" t="n">
        <v>2018</v>
      </c>
      <c r="G115" s="5" t="inlineStr">
        <is>
          <t>vintage 2018 is 37 years from the subject's 1981, outside the +/-10-year band</t>
        </is>
      </c>
    </row>
    <row r="116">
      <c r="A116" s="5" t="inlineStr">
        <is>
          <t>Parc South Mountain</t>
        </is>
      </c>
      <c r="B116" s="5" t="inlineStr">
        <is>
          <t>3400 E Southern Ave, Phoenix, AZ 85040</t>
        </is>
      </c>
      <c r="C116" s="10" t="n">
        <v>3.61</v>
      </c>
      <c r="D116" s="7" t="n">
        <v>258</v>
      </c>
      <c r="E116" s="5" t="inlineStr">
        <is>
          <t>mf</t>
        </is>
      </c>
      <c r="F116" s="8" t="n">
        <v>2019</v>
      </c>
      <c r="G116" s="5" t="inlineStr">
        <is>
          <t>vintage 2019 is 38 years from the subject's 1981, outside the +/-10-year band</t>
        </is>
      </c>
    </row>
    <row r="117">
      <c r="A117" s="5" t="inlineStr">
        <is>
          <t>SALT</t>
        </is>
      </c>
      <c r="B117" s="5" t="inlineStr">
        <is>
          <t>260 E Rio Salado Pky, Tempe, AZ 85281</t>
        </is>
      </c>
      <c r="C117" s="10" t="n">
        <v>3.74</v>
      </c>
      <c r="D117" s="7" t="n">
        <v>265</v>
      </c>
      <c r="E117" s="5" t="inlineStr">
        <is>
          <t>mf</t>
        </is>
      </c>
      <c r="F117" s="8" t="n">
        <v>2017</v>
      </c>
      <c r="G117" s="5" t="inlineStr">
        <is>
          <t>vintage 2017 is 36 years from the subject's 1981, outside the +/-10-year band</t>
        </is>
      </c>
    </row>
    <row r="118">
      <c r="A118" s="5" t="inlineStr">
        <is>
          <t>Culdesac Tempe</t>
        </is>
      </c>
      <c r="B118" s="5" t="inlineStr">
        <is>
          <t>2025 E Apache Blvd, Tempe, AZ 85281-4821</t>
        </is>
      </c>
      <c r="C118" s="10" t="n">
        <v>3.75</v>
      </c>
      <c r="D118" s="7" t="n">
        <v>781</v>
      </c>
      <c r="E118" s="5" t="inlineStr">
        <is>
          <t>mf</t>
        </is>
      </c>
      <c r="F118" s="8" t="n">
        <v>2023</v>
      </c>
      <c r="G118" s="5" t="inlineStr">
        <is>
          <t>vintage 2023 is 42 years from the subject's 1981, outside the +/-10-year band</t>
        </is>
      </c>
    </row>
    <row r="119">
      <c r="A119" s="5" t="inlineStr">
        <is>
          <t>Chandler Meadows Furnished Apartments</t>
        </is>
      </c>
      <c r="B119" s="5" t="inlineStr">
        <is>
          <t>3175 N Price Rd, Chandler, AZ 85224</t>
        </is>
      </c>
      <c r="C119" s="10" t="n">
        <v>3.76</v>
      </c>
      <c r="D119" s="7" t="n">
        <v>200</v>
      </c>
      <c r="E119" s="5" t="inlineStr">
        <is>
          <t>mf</t>
        </is>
      </c>
      <c r="F119" s="8" t="n">
        <v>1983</v>
      </c>
      <c r="G119" s="5" t="inlineStr">
        <is>
          <t>outside the service's preselection of 20: its rents are tracked but no unit group was quoted for it, so it is listed nearby</t>
        </is>
      </c>
    </row>
    <row r="120">
      <c r="A120" s="5" t="inlineStr">
        <is>
          <t>Solara Vista</t>
        </is>
      </c>
      <c r="B120" s="5" t="inlineStr">
        <is>
          <t>5885 S 32nd St, Phoenix, AZ 85040</t>
        </is>
      </c>
      <c r="C120" s="10" t="n">
        <v>3.79</v>
      </c>
      <c r="D120" s="7" t="n">
        <v>302</v>
      </c>
      <c r="E120" s="5" t="inlineStr">
        <is>
          <t>mf</t>
        </is>
      </c>
      <c r="F120" s="8" t="n">
        <v>2024</v>
      </c>
      <c r="G120" s="5" t="inlineStr">
        <is>
          <t>vintage 2024 is 43 years from the subject's 1981, outside the +/-10-year band</t>
        </is>
      </c>
    </row>
    <row r="121">
      <c r="A121" s="5" t="inlineStr">
        <is>
          <t>Esteban Park</t>
        </is>
      </c>
      <c r="B121" s="5" t="inlineStr">
        <is>
          <t>5611 S 32nd St, Phoenix, AZ 85040</t>
        </is>
      </c>
      <c r="C121" s="10" t="n">
        <v>3.85</v>
      </c>
      <c r="D121" s="7" t="n">
        <v>204</v>
      </c>
      <c r="E121" s="5" t="inlineStr">
        <is>
          <t>mf</t>
        </is>
      </c>
      <c r="F121" s="8" t="n">
        <v>2008</v>
      </c>
      <c r="G121" s="5" t="inlineStr">
        <is>
          <t>vintage 2008 is 27 years from the subject's 1981, outside the +/-10-year band</t>
        </is>
      </c>
    </row>
    <row r="122">
      <c r="A122" s="5" t="inlineStr">
        <is>
          <t>Blue Eastline</t>
        </is>
      </c>
      <c r="B122" s="5" t="inlineStr">
        <is>
          <t>2058 E Apache Blvd, Tempe, AZ 85281-4825</t>
        </is>
      </c>
      <c r="C122" s="10" t="n">
        <v>3.87</v>
      </c>
      <c r="D122" s="7" t="n">
        <v>187</v>
      </c>
      <c r="E122" s="5" t="inlineStr">
        <is>
          <t>mf</t>
        </is>
      </c>
      <c r="F122" s="8" t="n">
        <v>2024</v>
      </c>
      <c r="G122" s="5" t="inlineStr">
        <is>
          <t>vintage 2024 is 43 years from the subject's 1981, outside the +/-10-year band</t>
        </is>
      </c>
    </row>
    <row r="123">
      <c r="A123" s="5" t="inlineStr">
        <is>
          <t>Lore South Mountain</t>
        </is>
      </c>
      <c r="B123" s="5" t="inlineStr">
        <is>
          <t>13021 S 48th St, Phoenix, AZ 85044</t>
        </is>
      </c>
      <c r="C123" s="10" t="n">
        <v>3.89</v>
      </c>
      <c r="D123" s="7" t="n">
        <v>242</v>
      </c>
      <c r="E123" s="5" t="inlineStr">
        <is>
          <t>mf</t>
        </is>
      </c>
      <c r="F123" s="8" t="n">
        <v>1987</v>
      </c>
      <c r="G123" s="5" t="inlineStr">
        <is>
          <t>outside the service's preselection of 20: its rents are tracked but no unit group was quoted for it, so it is listed nearby</t>
        </is>
      </c>
    </row>
    <row r="124">
      <c r="A124" s="5" t="inlineStr">
        <is>
          <t>Lumiere Chandler Condominiums</t>
        </is>
      </c>
      <c r="B124" s="5" t="inlineStr">
        <is>
          <t>1100 N Priest Dr, Chandler, AZ 85226</t>
        </is>
      </c>
      <c r="C124" s="10" t="n">
        <v>3.89</v>
      </c>
      <c r="D124" s="7" t="n">
        <v>256</v>
      </c>
      <c r="E124" s="5" t="inlineStr">
        <is>
          <t>mf</t>
        </is>
      </c>
      <c r="F124" s="8" t="n">
        <v>1996</v>
      </c>
      <c r="G124" s="5" t="inlineStr">
        <is>
          <t>vintage 1996 is 15 years from the subject's 1981, outside the +/-10-year band</t>
        </is>
      </c>
    </row>
    <row r="125">
      <c r="A125" s="5" t="inlineStr">
        <is>
          <t>Villatree Apartments</t>
        </is>
      </c>
      <c r="B125" s="5" t="inlineStr">
        <is>
          <t>1750 S Price Rd, Tempe, AZ 85281</t>
        </is>
      </c>
      <c r="C125" s="10" t="n">
        <v>3.89</v>
      </c>
      <c r="D125" s="7" t="n">
        <v>150</v>
      </c>
      <c r="E125" s="5" t="inlineStr">
        <is>
          <t>mf</t>
        </is>
      </c>
      <c r="F125" s="8" t="n">
        <v>1980</v>
      </c>
      <c r="G125" s="5" t="inlineStr">
        <is>
          <t>outside the service's preselection of 20: its rents are tracked but no unit group was quoted for it, so it is listed nearby</t>
        </is>
      </c>
    </row>
    <row r="126">
      <c r="A126" s="5" t="inlineStr">
        <is>
          <t>Aqua Apartments</t>
        </is>
      </c>
      <c r="B126" s="5" t="inlineStr">
        <is>
          <t>1532 S Price Rd, Tempe, AZ 85281-6122</t>
        </is>
      </c>
      <c r="C126" s="10" t="n">
        <v>3.95</v>
      </c>
      <c r="D126" s="7" t="n">
        <v>165</v>
      </c>
      <c r="E126" s="5" t="inlineStr">
        <is>
          <t>mf</t>
        </is>
      </c>
      <c r="F126" s="8" t="n">
        <v>1980</v>
      </c>
      <c r="G126" s="5" t="inlineStr">
        <is>
          <t>outside the service's preselection of 20: its rents are tracked but no unit group was quoted for it, so it is listed nearby</t>
        </is>
      </c>
    </row>
    <row r="127">
      <c r="A127" s="5" t="inlineStr">
        <is>
          <t>Nollie</t>
        </is>
      </c>
      <c r="B127" s="5" t="inlineStr">
        <is>
          <t>2125 E Apache Blvd, Tempe, AZ 85281-4823</t>
        </is>
      </c>
      <c r="C127" s="10" t="n">
        <v>3.99</v>
      </c>
      <c r="D127" s="7" t="n">
        <v>219</v>
      </c>
      <c r="E127" s="5" t="inlineStr">
        <is>
          <t>mf</t>
        </is>
      </c>
      <c r="F127" s="8" t="n">
        <v>2024</v>
      </c>
      <c r="G127" s="5" t="inlineStr">
        <is>
          <t>vintage 2024 is 43 years from the subject's 1981, outside the +/-10-year band</t>
        </is>
      </c>
    </row>
    <row r="128">
      <c r="A128" s="5" t="inlineStr">
        <is>
          <t>VELA at Tempe Town Lake</t>
        </is>
      </c>
      <c r="B128" s="5" t="inlineStr">
        <is>
          <t>555 N College Ave, Tempe, AZ 85281-3714</t>
        </is>
      </c>
      <c r="C128" s="10" t="n">
        <v>4</v>
      </c>
      <c r="D128" s="7" t="n">
        <v>290</v>
      </c>
      <c r="E128" s="5" t="inlineStr">
        <is>
          <t>mf</t>
        </is>
      </c>
      <c r="F128" s="8" t="n">
        <v>2016</v>
      </c>
      <c r="G128" s="5" t="inlineStr">
        <is>
          <t>vintage 2016 is 35 years from the subject's 1981, outside the +/-10-year band</t>
        </is>
      </c>
    </row>
    <row r="129">
      <c r="A129" s="5" t="inlineStr">
        <is>
          <t>Aura Watermark</t>
        </is>
      </c>
      <c r="B129" s="5" t="inlineStr">
        <is>
          <t>420 N Scottsdale Rd, Tempe, AZ 85281-2024</t>
        </is>
      </c>
      <c r="C129" s="10" t="n">
        <v>4.02</v>
      </c>
      <c r="D129" s="7" t="n">
        <v>360</v>
      </c>
      <c r="E129" s="5" t="inlineStr">
        <is>
          <t>mf</t>
        </is>
      </c>
      <c r="F129" s="8" t="n">
        <v>2019</v>
      </c>
      <c r="G129" s="5" t="inlineStr">
        <is>
          <t>vintage 2019 is 38 years from the subject's 1981, outside the +/-10-year band</t>
        </is>
      </c>
    </row>
    <row r="130">
      <c r="A130" s="5" t="inlineStr">
        <is>
          <t>Rockledge Fairways</t>
        </is>
      </c>
      <c r="B130" s="5" t="inlineStr">
        <is>
          <t>13220 S 48th St, Phoenix, AZ 85044</t>
        </is>
      </c>
      <c r="C130" s="10" t="n">
        <v>4.03</v>
      </c>
      <c r="D130" s="7" t="n">
        <v>310</v>
      </c>
      <c r="E130" s="5" t="inlineStr">
        <is>
          <t>mf</t>
        </is>
      </c>
      <c r="F130" s="8" t="n">
        <v>1986</v>
      </c>
      <c r="G130" s="5" t="inlineStr">
        <is>
          <t>outside the service's preselection of 20: its rents are tracked but no unit group was quoted for it, so it is listed nearby</t>
        </is>
      </c>
    </row>
    <row r="131">
      <c r="A131" s="5" t="inlineStr">
        <is>
          <t>Asteria Apartment Homes</t>
        </is>
      </c>
      <c r="B131" s="5" t="inlineStr">
        <is>
          <t>1975 E University Dr, Tempe, AZ 85281</t>
        </is>
      </c>
      <c r="C131" s="10" t="n">
        <v>4.04</v>
      </c>
      <c r="D131" s="7" t="n">
        <v>212</v>
      </c>
      <c r="E131" s="5" t="inlineStr">
        <is>
          <t>mf</t>
        </is>
      </c>
      <c r="F131" s="8" t="n">
        <v>1989</v>
      </c>
      <c r="G131" s="5" t="inlineStr">
        <is>
          <t>outside the service's preselection of 20: its rents are tracked but no unit group was quoted for it, so it is listed nearby</t>
        </is>
      </c>
    </row>
    <row r="132">
      <c r="A132" s="5" t="inlineStr">
        <is>
          <t>Norte Town Lake</t>
        </is>
      </c>
      <c r="B132" s="5" t="inlineStr">
        <is>
          <t>909 E Playa del Norte Dr, Tempe, AZ 85288-2848</t>
        </is>
      </c>
      <c r="C132" s="10" t="n">
        <v>4.06</v>
      </c>
      <c r="D132" s="7" t="n">
        <v>244</v>
      </c>
      <c r="E132" s="5" t="inlineStr">
        <is>
          <t>mf</t>
        </is>
      </c>
      <c r="F132" s="8" t="n">
        <v>2019</v>
      </c>
      <c r="G132" s="5" t="inlineStr">
        <is>
          <t>vintage 2019 is 38 years from the subject's 1981, outside the +/-10-year band</t>
        </is>
      </c>
    </row>
    <row r="133">
      <c r="A133" s="5" t="inlineStr">
        <is>
          <t>Tracked community 1 (name withheld by the publishing check)</t>
        </is>
      </c>
      <c r="B133" s="12" t="n"/>
      <c r="C133" s="10" t="n">
        <v>4.08</v>
      </c>
      <c r="D133" s="7" t="n">
        <v>722</v>
      </c>
      <c r="E133" s="5" t="inlineStr">
        <is>
          <t>mf</t>
        </is>
      </c>
      <c r="F133" s="8" t="n">
        <v>2026</v>
      </c>
      <c r="G133" s="5" t="inlineStr">
        <is>
          <t>vintage 2026 is 45 years from the subject's 1981, outside the +/-10-year band; name withheld by the publishing check</t>
        </is>
      </c>
    </row>
    <row r="134">
      <c r="A134" s="5" t="inlineStr">
        <is>
          <t>Sonoran Apartments</t>
        </is>
      </c>
      <c r="B134" s="5" t="inlineStr">
        <is>
          <t>13625 S 48th St, Phoenix, AZ 85044</t>
        </is>
      </c>
      <c r="C134" s="10" t="n">
        <v>4.13</v>
      </c>
      <c r="D134" s="7" t="n">
        <v>429</v>
      </c>
      <c r="E134" s="5" t="inlineStr">
        <is>
          <t>mf</t>
        </is>
      </c>
      <c r="F134" s="8" t="n">
        <v>1995</v>
      </c>
      <c r="G134" s="5" t="inlineStr">
        <is>
          <t>vintage 1995 is 14 years from the subject's 1981, outside the +/-10-year band</t>
        </is>
      </c>
    </row>
    <row r="135">
      <c r="A135" s="5" t="inlineStr">
        <is>
          <t>Ten01 on the Lake</t>
        </is>
      </c>
      <c r="B135" s="5" t="inlineStr">
        <is>
          <t>1001 E Playa del Norte Dr, Tempe, AZ 85288-2176</t>
        </is>
      </c>
      <c r="C135" s="10" t="n">
        <v>4.15</v>
      </c>
      <c r="D135" s="7" t="n">
        <v>523</v>
      </c>
      <c r="E135" s="5" t="inlineStr">
        <is>
          <t>mf</t>
        </is>
      </c>
      <c r="F135" s="8" t="n">
        <v>2008</v>
      </c>
      <c r="G135" s="5" t="inlineStr">
        <is>
          <t>vintage 2008 is 27 years from the subject's 1981, outside the +/-10-year band</t>
        </is>
      </c>
    </row>
    <row r="136">
      <c r="A136" s="5" t="inlineStr">
        <is>
          <t>The Aubrey</t>
        </is>
      </c>
      <c r="B136" s="5" t="inlineStr">
        <is>
          <t>1003 W Washington St, Tempe, AZ 85288-0924</t>
        </is>
      </c>
      <c r="C136" s="10" t="n">
        <v>4.2</v>
      </c>
      <c r="D136" s="7" t="n">
        <v>300</v>
      </c>
      <c r="E136" s="5" t="inlineStr">
        <is>
          <t>mf</t>
        </is>
      </c>
      <c r="F136" s="8" t="n">
        <v>2020</v>
      </c>
      <c r="G136" s="5" t="inlineStr">
        <is>
          <t>vintage 2020 is 39 years from the subject's 1981, outside the +/-10-year band</t>
        </is>
      </c>
    </row>
    <row r="137">
      <c r="A137" s="5" t="inlineStr">
        <is>
          <t>San Jose Manor Apartments</t>
        </is>
      </c>
      <c r="B137" s="5" t="inlineStr">
        <is>
          <t>1112 S San Jose St, Mesa, AZ 85202</t>
        </is>
      </c>
      <c r="C137" s="10" t="n">
        <v>4.21</v>
      </c>
      <c r="D137" s="7" t="n">
        <v>176</v>
      </c>
      <c r="E137" s="5" t="inlineStr">
        <is>
          <t>mf</t>
        </is>
      </c>
      <c r="F137" s="8" t="n">
        <v>1976</v>
      </c>
      <c r="G137" s="5" t="inlineStr">
        <is>
          <t>outside the service's preselection of 20: its rents are tracked but no unit group was quoted for it, so it is listed nearby</t>
        </is>
      </c>
    </row>
    <row r="138">
      <c r="A138" s="5" t="inlineStr">
        <is>
          <t>Aventerra at Dobson Ranch</t>
        </is>
      </c>
      <c r="B138" s="5" t="inlineStr">
        <is>
          <t>1960 W Keating Ave, Mesa, AZ 85202</t>
        </is>
      </c>
      <c r="C138" s="10" t="n">
        <v>4.22</v>
      </c>
      <c r="D138" s="7" t="n">
        <v>576</v>
      </c>
      <c r="E138" s="5" t="inlineStr">
        <is>
          <t>mf</t>
        </is>
      </c>
      <c r="F138" s="8" t="n">
        <v>1978</v>
      </c>
      <c r="G138" s="5" t="inlineStr">
        <is>
          <t>outside the service's preselection of 20: its rents are tracked but no unit group was quoted for it, so it is listed nearby</t>
        </is>
      </c>
    </row>
    <row r="139">
      <c r="A139" s="5" t="inlineStr">
        <is>
          <t>Broadstone Tempe Station</t>
        </is>
      </c>
      <c r="B139" s="5" t="inlineStr">
        <is>
          <t>2323 E Apache Blvd, Tempe, AZ 85281-4971</t>
        </is>
      </c>
      <c r="C139" s="10" t="n">
        <v>4.25</v>
      </c>
      <c r="D139" s="7" t="n">
        <v>400</v>
      </c>
      <c r="E139" s="5" t="inlineStr">
        <is>
          <t>mf</t>
        </is>
      </c>
      <c r="F139" s="8" t="n">
        <v>2000</v>
      </c>
      <c r="G139" s="5" t="inlineStr">
        <is>
          <t>vintage 2000 is 19 years from the subject's 1981, outside the +/-10-year band</t>
        </is>
      </c>
    </row>
    <row r="140">
      <c r="A140" s="5" t="inlineStr">
        <is>
          <t>La Victoria Commons</t>
        </is>
      </c>
      <c r="B140" s="5" t="inlineStr">
        <is>
          <t>2320 E Apache Blvd, Tempe, AZ 85288-4920</t>
        </is>
      </c>
      <c r="C140" s="10" t="n">
        <v>4.28</v>
      </c>
      <c r="D140" s="7" t="n">
        <v>104</v>
      </c>
      <c r="E140" s="5" t="inlineStr">
        <is>
          <t>mf</t>
        </is>
      </c>
      <c r="F140" s="8" t="n">
        <v>2026</v>
      </c>
      <c r="G140" s="5" t="inlineStr">
        <is>
          <t>excluded from comp sets by the tracker: income_restricted</t>
        </is>
      </c>
    </row>
    <row r="141">
      <c r="A141" s="5" t="inlineStr">
        <is>
          <t>The Flats</t>
        </is>
      </c>
      <c r="B141" s="5" t="inlineStr">
        <is>
          <t>1045 S San Jose St, Mesa, AZ 85202</t>
        </is>
      </c>
      <c r="C141" s="10" t="n">
        <v>4.29</v>
      </c>
      <c r="D141" s="7" t="n">
        <v>112</v>
      </c>
      <c r="E141" s="5" t="inlineStr">
        <is>
          <t>mf</t>
        </is>
      </c>
      <c r="F141" s="8" t="n">
        <v>1974</v>
      </c>
      <c r="G141" s="5" t="inlineStr">
        <is>
          <t>outside the service's preselection of 20: its rents are tracked but no unit group was quoted for it, so it is listed nearby</t>
        </is>
      </c>
    </row>
    <row r="142">
      <c r="A142" s="5" t="inlineStr">
        <is>
          <t>La Costa at Dobson Ranch</t>
        </is>
      </c>
      <c r="B142" s="5" t="inlineStr">
        <is>
          <t>1820 W Lindner Ave, Mesa, AZ 85202-6543</t>
        </is>
      </c>
      <c r="C142" s="10" t="n">
        <v>4.3</v>
      </c>
      <c r="D142" s="7" t="n">
        <v>194</v>
      </c>
      <c r="E142" s="5" t="inlineStr">
        <is>
          <t>mf</t>
        </is>
      </c>
      <c r="F142" s="8" t="n">
        <v>1979</v>
      </c>
      <c r="G142" s="5" t="inlineStr">
        <is>
          <t>outside the service's preselection of 20: its rents are tracked but no unit group was quoted for it, so it is listed nearby</t>
        </is>
      </c>
    </row>
    <row r="143">
      <c r="A143" s="5" t="inlineStr">
        <is>
          <t>Cortland Chandler Crossing</t>
        </is>
      </c>
      <c r="B143" s="5" t="inlineStr">
        <is>
          <t>900 N Rural Rd, Chandler, AZ 85226</t>
        </is>
      </c>
      <c r="C143" s="10" t="n">
        <v>4.33</v>
      </c>
      <c r="D143" s="7" t="n">
        <v>208</v>
      </c>
      <c r="E143" s="5" t="inlineStr">
        <is>
          <t>mf</t>
        </is>
      </c>
      <c r="F143" s="8" t="n">
        <v>1997</v>
      </c>
      <c r="G143" s="5" t="inlineStr">
        <is>
          <t>vintage 1997 is 16 years from the subject's 1981, outside the +/-10-year band</t>
        </is>
      </c>
    </row>
    <row r="144">
      <c r="A144" s="5" t="inlineStr">
        <is>
          <t>Terra Vida</t>
        </is>
      </c>
      <c r="B144" s="5" t="inlineStr">
        <is>
          <t>150 S Roosevelt Rd, Mesa, AZ 85202</t>
        </is>
      </c>
      <c r="C144" s="10" t="n">
        <v>4.33</v>
      </c>
      <c r="D144" s="7" t="n">
        <v>384</v>
      </c>
      <c r="E144" s="5" t="inlineStr">
        <is>
          <t>mf</t>
        </is>
      </c>
      <c r="F144" s="8" t="n">
        <v>1988</v>
      </c>
      <c r="G144" s="5" t="inlineStr">
        <is>
          <t>outside the service's preselection of 20: its rents are tracked but no unit group was quoted for it, so it is listed nearby</t>
        </is>
      </c>
    </row>
    <row r="145">
      <c r="A145" s="5" t="inlineStr">
        <is>
          <t>Emerald Apartments</t>
        </is>
      </c>
      <c r="B145" s="5" t="inlineStr">
        <is>
          <t>1030 S Dobson Rd, Mesa, AZ 85202</t>
        </is>
      </c>
      <c r="C145" s="10" t="n">
        <v>4.36</v>
      </c>
      <c r="D145" s="7" t="n">
        <v>324</v>
      </c>
      <c r="E145" s="5" t="inlineStr">
        <is>
          <t>mf</t>
        </is>
      </c>
      <c r="F145" s="8" t="n">
        <v>1975</v>
      </c>
      <c r="G145" s="5" t="inlineStr">
        <is>
          <t>outside the service's preselection of 20: its rents are tracked but no unit group was quoted for it, so it is listed nearby</t>
        </is>
      </c>
    </row>
    <row r="146">
      <c r="A146" s="5" t="inlineStr">
        <is>
          <t>Sierra Foothills</t>
        </is>
      </c>
      <c r="B146" s="5" t="inlineStr">
        <is>
          <t>13601 S 44th St, Phoenix, AZ 85044</t>
        </is>
      </c>
      <c r="C146" s="10" t="n">
        <v>4.36</v>
      </c>
      <c r="D146" s="7" t="n">
        <v>322</v>
      </c>
      <c r="E146" s="5" t="inlineStr">
        <is>
          <t>mf</t>
        </is>
      </c>
      <c r="F146" s="8" t="n">
        <v>1999</v>
      </c>
      <c r="G146" s="5" t="inlineStr">
        <is>
          <t>vintage 1999 is 18 years from the subject's 1981, outside the +/-10-year band</t>
        </is>
      </c>
    </row>
    <row r="147">
      <c r="A147" s="5" t="inlineStr">
        <is>
          <t>Waterstone</t>
        </is>
      </c>
      <c r="B147" s="5" t="inlineStr">
        <is>
          <t>1651 S Dobson Rd, Mesa, AZ 85202-5617</t>
        </is>
      </c>
      <c r="C147" s="10" t="n">
        <v>4.37</v>
      </c>
      <c r="D147" s="7" t="n">
        <v>269</v>
      </c>
      <c r="E147" s="5" t="inlineStr">
        <is>
          <t>mf</t>
        </is>
      </c>
      <c r="F147" s="8" t="n">
        <v>1979</v>
      </c>
      <c r="G147" s="5" t="inlineStr">
        <is>
          <t>outside the service's preselection of 20: its rents are tracked but no unit group was quoted for it, so it is listed nearby</t>
        </is>
      </c>
    </row>
    <row r="148">
      <c r="A148" s="5" t="inlineStr">
        <is>
          <t>Smith + Rio</t>
        </is>
      </c>
      <c r="B148" s="5" t="inlineStr">
        <is>
          <t>1979 E Rio Salado Pky, Tempe, AZ 85281</t>
        </is>
      </c>
      <c r="C148" s="10" t="n">
        <v>4.42</v>
      </c>
      <c r="D148" s="7" t="n">
        <v>310</v>
      </c>
      <c r="E148" s="5" t="inlineStr">
        <is>
          <t>mf</t>
        </is>
      </c>
      <c r="F148" s="8" t="n">
        <v>2023</v>
      </c>
      <c r="G148" s="5" t="inlineStr">
        <is>
          <t>vintage 2023 is 42 years from the subject's 1981, outside the +/-10-year band</t>
        </is>
      </c>
    </row>
    <row r="149">
      <c r="A149" s="5" t="inlineStr">
        <is>
          <t>Caldera</t>
        </is>
      </c>
      <c r="B149" s="5" t="inlineStr">
        <is>
          <t>3939 W Windmills Blvd, Chandler, AZ 85226</t>
        </is>
      </c>
      <c r="C149" s="10" t="n">
        <v>4.45</v>
      </c>
      <c r="D149" s="7" t="n">
        <v>284</v>
      </c>
      <c r="E149" s="5" t="inlineStr">
        <is>
          <t>mf</t>
        </is>
      </c>
      <c r="F149" s="8" t="n">
        <v>1989</v>
      </c>
      <c r="G149" s="5" t="inlineStr">
        <is>
          <t>outside the service's preselection of 20: its rents are tracked but no unit group was quoted for it, so it is listed nearby</t>
        </is>
      </c>
    </row>
    <row r="150">
      <c r="A150" s="5" t="inlineStr">
        <is>
          <t>Central on Broadway</t>
        </is>
      </c>
      <c r="B150" s="5" t="inlineStr">
        <is>
          <t>2145 W Broadway Rd, Mesa, AZ 85202-1012</t>
        </is>
      </c>
      <c r="C150" s="10" t="n">
        <v>4.47</v>
      </c>
      <c r="D150" s="7" t="n">
        <v>484</v>
      </c>
      <c r="E150" s="5" t="inlineStr">
        <is>
          <t>mf</t>
        </is>
      </c>
      <c r="F150" s="8" t="n">
        <v>1975</v>
      </c>
      <c r="G150" s="5" t="inlineStr">
        <is>
          <t>outside the service's preselection of 20: its rents are tracked but no unit group was quoted for it, so it is listed nearby</t>
        </is>
      </c>
    </row>
    <row r="151">
      <c r="A151" s="5" t="inlineStr">
        <is>
          <t>Camden Tempe II</t>
        </is>
      </c>
      <c r="B151" s="5" t="inlineStr">
        <is>
          <t>600 E Curry Rd, Tempe, AZ 85281</t>
        </is>
      </c>
      <c r="C151" s="10" t="n">
        <v>4.51</v>
      </c>
      <c r="D151" s="7" t="n">
        <v>397</v>
      </c>
      <c r="E151" s="5" t="inlineStr">
        <is>
          <t>mf</t>
        </is>
      </c>
      <c r="F151" s="8" t="n">
        <v>2022</v>
      </c>
      <c r="G151" s="5" t="inlineStr">
        <is>
          <t>vintage 2022 is 41 years from the subject's 1981, outside the +/-10-year band</t>
        </is>
      </c>
    </row>
    <row r="152">
      <c r="A152" s="5" t="inlineStr">
        <is>
          <t>The Morrison</t>
        </is>
      </c>
      <c r="B152" s="5" t="inlineStr">
        <is>
          <t>2343 W Main St, Mesa, AZ 85201</t>
        </is>
      </c>
      <c r="C152" s="10" t="n">
        <v>4.53</v>
      </c>
      <c r="D152" s="7" t="n">
        <v>337</v>
      </c>
      <c r="E152" s="5" t="inlineStr">
        <is>
          <t>mf</t>
        </is>
      </c>
      <c r="F152" s="8" t="n">
        <v>1986</v>
      </c>
      <c r="G152" s="5" t="inlineStr">
        <is>
          <t>outside the service's preselection of 20: its rents are tracked but no unit group was quoted for it, so it is listed nearby</t>
        </is>
      </c>
    </row>
    <row r="153">
      <c r="A153" s="5" t="inlineStr">
        <is>
          <t>Sunrise Vista</t>
        </is>
      </c>
      <c r="B153" s="5" t="inlineStr">
        <is>
          <t>4415 S 28th St, Phoenix, AZ 85040</t>
        </is>
      </c>
      <c r="C153" s="10" t="n">
        <v>4.54</v>
      </c>
      <c r="D153" s="7" t="n">
        <v>196</v>
      </c>
      <c r="E153" s="5" t="inlineStr">
        <is>
          <t>mf</t>
        </is>
      </c>
      <c r="F153" s="8" t="n">
        <v>1996</v>
      </c>
      <c r="G153" s="5" t="inlineStr">
        <is>
          <t>excluded from comp sets by the tracker: income_restricted</t>
        </is>
      </c>
    </row>
    <row r="154">
      <c r="A154" s="5" t="inlineStr">
        <is>
          <t>Sorrento Apartments</t>
        </is>
      </c>
      <c r="B154" s="5" t="inlineStr">
        <is>
          <t>901 S Dobson Rd, Mesa, AZ 85202</t>
        </is>
      </c>
      <c r="C154" s="10" t="n">
        <v>4.55</v>
      </c>
      <c r="D154" s="7" t="n">
        <v>226</v>
      </c>
      <c r="E154" s="5" t="inlineStr">
        <is>
          <t>mf</t>
        </is>
      </c>
      <c r="F154" s="8" t="n">
        <v>1982</v>
      </c>
      <c r="G154" s="5" t="inlineStr">
        <is>
          <t>outside the service's preselection of 20: its rents are tracked but no unit group was quoted for it, so it is listed nearby</t>
        </is>
      </c>
    </row>
    <row r="155">
      <c r="A155" s="5" t="inlineStr">
        <is>
          <t>Camden Sotelo</t>
        </is>
      </c>
      <c r="B155" s="5" t="inlineStr">
        <is>
          <t>615 E Weber Dr, Tempe, AZ 85281</t>
        </is>
      </c>
      <c r="C155" s="10" t="n">
        <v>4.57</v>
      </c>
      <c r="D155" s="7" t="n">
        <v>170</v>
      </c>
      <c r="E155" s="5" t="inlineStr">
        <is>
          <t>mf</t>
        </is>
      </c>
      <c r="F155" s="8" t="n">
        <v>2012</v>
      </c>
      <c r="G155" s="5" t="inlineStr">
        <is>
          <t>vintage 2012 is 31 years from the subject's 1981, outside the +/-10-year band</t>
        </is>
      </c>
    </row>
    <row r="156">
      <c r="A156" s="5" t="inlineStr">
        <is>
          <t>Verano Townhomes</t>
        </is>
      </c>
      <c r="B156" s="5" t="inlineStr">
        <is>
          <t>13820 S 44th St, Phoenix, AZ 85044</t>
        </is>
      </c>
      <c r="C156" s="10" t="n">
        <v>4.58</v>
      </c>
      <c r="D156" s="7" t="n">
        <v>360</v>
      </c>
      <c r="E156" s="5" t="inlineStr">
        <is>
          <t>bfr</t>
        </is>
      </c>
      <c r="F156" s="8" t="n">
        <v>1996</v>
      </c>
      <c r="G156" s="5" t="inlineStr">
        <is>
          <t>different product: tracked as bfr, subject is MF</t>
        </is>
      </c>
    </row>
    <row r="157">
      <c r="A157" s="5" t="inlineStr">
        <is>
          <t>Avana River Ranch</t>
        </is>
      </c>
      <c r="B157" s="5" t="inlineStr">
        <is>
          <t>6152 W Oakland St, Chandler, AZ 85226</t>
        </is>
      </c>
      <c r="C157" s="10" t="n">
        <v>4.59</v>
      </c>
      <c r="D157" s="7" t="n">
        <v>188</v>
      </c>
      <c r="E157" s="5" t="inlineStr">
        <is>
          <t>mf</t>
        </is>
      </c>
      <c r="F157" s="8" t="n">
        <v>1988</v>
      </c>
      <c r="G157" s="5" t="inlineStr">
        <is>
          <t>outside the service's preselection of 20: its rents are tracked but no unit group was quoted for it, so it is listed nearby</t>
        </is>
      </c>
    </row>
    <row r="158">
      <c r="A158" s="5" t="inlineStr">
        <is>
          <t>Broadway Vista</t>
        </is>
      </c>
      <c r="B158" s="5" t="inlineStr">
        <is>
          <t>2107 W Broadway Rd, Mesa, AZ 85202</t>
        </is>
      </c>
      <c r="C158" s="10" t="n">
        <v>4.59</v>
      </c>
      <c r="D158" s="7" t="n">
        <v>155</v>
      </c>
      <c r="E158" s="5" t="inlineStr">
        <is>
          <t>mf</t>
        </is>
      </c>
      <c r="F158" s="8" t="n">
        <v>1983</v>
      </c>
      <c r="G158" s="5" t="inlineStr">
        <is>
          <t>outside the service's preselection of 20: its rents are tracked but no unit group was quoted for it, so it is listed nearby</t>
        </is>
      </c>
    </row>
    <row r="159">
      <c r="A159" s="5" t="inlineStr">
        <is>
          <t>Vetra Chandler</t>
        </is>
      </c>
      <c r="B159" s="5" t="inlineStr">
        <is>
          <t>4909 W Joshua Blvd, Chandler, AZ 85226</t>
        </is>
      </c>
      <c r="C159" s="10" t="n">
        <v>4.59</v>
      </c>
      <c r="D159" s="7" t="n">
        <v>396</v>
      </c>
      <c r="E159" s="5" t="inlineStr">
        <is>
          <t>mf</t>
        </is>
      </c>
      <c r="F159" s="8" t="n">
        <v>1986</v>
      </c>
      <c r="G159" s="5" t="inlineStr">
        <is>
          <t>outside the service's preselection of 20: its rents are tracked but no unit group was quoted for it, so it is listed nearby</t>
        </is>
      </c>
    </row>
    <row r="160">
      <c r="A160" s="5" t="inlineStr">
        <is>
          <t>Northbend</t>
        </is>
      </c>
      <c r="B160" s="5" t="inlineStr">
        <is>
          <t>906 N Miller Rd, Tempe, AZ 85288</t>
        </is>
      </c>
      <c r="C160" s="10" t="n">
        <v>4.6</v>
      </c>
      <c r="D160" s="7" t="n">
        <v>607</v>
      </c>
      <c r="E160" s="5" t="inlineStr">
        <is>
          <t>mf</t>
        </is>
      </c>
      <c r="F160" s="8" t="n">
        <v>2024</v>
      </c>
      <c r="G160" s="5" t="inlineStr">
        <is>
          <t>vintage 2024 is 43 years from the subject's 1981, outside the +/-10-year band</t>
        </is>
      </c>
    </row>
    <row r="161">
      <c r="A161" s="5" t="inlineStr">
        <is>
          <t>The Ventura</t>
        </is>
      </c>
      <c r="B161" s="5" t="inlineStr">
        <is>
          <t>3600 W Ray Rd, Chandler, AZ 85226-1372</t>
        </is>
      </c>
      <c r="C161" s="10" t="n">
        <v>4.65</v>
      </c>
      <c r="D161" s="7" t="n">
        <v>272</v>
      </c>
      <c r="E161" s="5" t="inlineStr">
        <is>
          <t>mf</t>
        </is>
      </c>
      <c r="F161" s="8" t="n">
        <v>1995</v>
      </c>
      <c r="G161" s="5" t="inlineStr">
        <is>
          <t>vintage 1995 is 14 years from the subject's 1981, outside the +/-10-year band</t>
        </is>
      </c>
    </row>
    <row r="162">
      <c r="A162" s="5" t="inlineStr">
        <is>
          <t>Sycamore Square</t>
        </is>
      </c>
      <c r="B162" s="5" t="inlineStr">
        <is>
          <t>1120 S Sycamore, Mesa, AZ 85202-4007</t>
        </is>
      </c>
      <c r="C162" s="10" t="n">
        <v>4.66</v>
      </c>
      <c r="D162" s="7" t="n">
        <v>120</v>
      </c>
      <c r="E162" s="5" t="inlineStr">
        <is>
          <t>mf</t>
        </is>
      </c>
      <c r="F162" s="8" t="n">
        <v>1979</v>
      </c>
      <c r="G162" s="5" t="inlineStr">
        <is>
          <t>outside the service's preselection of 20: its rents are tracked but no unit group was quoted for it, so it is listed nearby</t>
        </is>
      </c>
    </row>
    <row r="163">
      <c r="A163" s="5" t="inlineStr">
        <is>
          <t>San Melia Apartment Homes</t>
        </is>
      </c>
      <c r="B163" s="5" t="inlineStr">
        <is>
          <t>14435 S 48th St, Phoenix, AZ 85044</t>
        </is>
      </c>
      <c r="C163" s="10" t="n">
        <v>4.7</v>
      </c>
      <c r="D163" s="7" t="n">
        <v>488</v>
      </c>
      <c r="E163" s="5" t="inlineStr">
        <is>
          <t>mf</t>
        </is>
      </c>
      <c r="F163" s="8" t="n">
        <v>1998</v>
      </c>
      <c r="G163" s="5" t="inlineStr">
        <is>
          <t>vintage 1998 is 17 years from the subject's 1981, outside the +/-10-year band</t>
        </is>
      </c>
    </row>
    <row r="164">
      <c r="A164" s="5" t="inlineStr">
        <is>
          <t>Reflections at Gila Springs Apartment Homes</t>
        </is>
      </c>
      <c r="B164" s="5" t="inlineStr">
        <is>
          <t>411 N Kyrene Rd, Chandler, AZ 85226</t>
        </is>
      </c>
      <c r="C164" s="10" t="n">
        <v>4.72</v>
      </c>
      <c r="D164" s="7" t="n">
        <v>160</v>
      </c>
      <c r="E164" s="5" t="inlineStr">
        <is>
          <t>mf</t>
        </is>
      </c>
      <c r="F164" s="8" t="n">
        <v>1994</v>
      </c>
      <c r="G164" s="5" t="inlineStr">
        <is>
          <t>vintage 1994 is 13 years from the subject's 1981, outside the +/-10-year band</t>
        </is>
      </c>
    </row>
    <row r="165">
      <c r="A165" s="5" t="inlineStr">
        <is>
          <t>Banyan on Washington</t>
        </is>
      </c>
      <c r="B165" s="5" t="inlineStr">
        <is>
          <t>5353 E Washington St, Phoenix, AZ 85034-2129</t>
        </is>
      </c>
      <c r="C165" s="10" t="n">
        <v>4.73</v>
      </c>
      <c r="D165" s="7" t="n">
        <v>222</v>
      </c>
      <c r="E165" s="5" t="inlineStr">
        <is>
          <t>mf</t>
        </is>
      </c>
      <c r="F165" s="8" t="n">
        <v>2023</v>
      </c>
      <c r="G165" s="5" t="inlineStr">
        <is>
          <t>vintage 2023 is 42 years from the subject's 1981, outside the +/-10-year band</t>
        </is>
      </c>
    </row>
    <row r="166">
      <c r="A166" s="5" t="inlineStr">
        <is>
          <t>The Alyssa</t>
        </is>
      </c>
      <c r="B166" s="5" t="inlineStr">
        <is>
          <t>98 South River Dr, Tempe, AZ 85288</t>
        </is>
      </c>
      <c r="C166" s="10" t="n">
        <v>4.73</v>
      </c>
      <c r="D166" s="7" t="n">
        <v>335</v>
      </c>
      <c r="E166" s="5" t="inlineStr">
        <is>
          <t>mf</t>
        </is>
      </c>
      <c r="F166" s="8" t="n">
        <v>2024</v>
      </c>
      <c r="G166" s="5" t="inlineStr">
        <is>
          <t>vintage 2024 is 43 years from the subject's 1981, outside the +/-10-year band</t>
        </is>
      </c>
    </row>
    <row r="167">
      <c r="A167" s="5" t="inlineStr">
        <is>
          <t>Villetta</t>
        </is>
      </c>
      <c r="B167" s="5" t="inlineStr">
        <is>
          <t>1840 W Emelita Ave, Mesa, AZ 85202</t>
        </is>
      </c>
      <c r="C167" s="10" t="n">
        <v>4.76</v>
      </c>
      <c r="D167" s="7" t="n">
        <v>352</v>
      </c>
      <c r="E167" s="5" t="inlineStr">
        <is>
          <t>mf</t>
        </is>
      </c>
      <c r="F167" s="8" t="n">
        <v>1983</v>
      </c>
      <c r="G167" s="5" t="inlineStr">
        <is>
          <t>outside the service's preselection of 20: its rents are tracked but no unit group was quoted for it, so it is listed nearby</t>
        </is>
      </c>
    </row>
    <row r="168">
      <c r="A168" s="5" t="inlineStr">
        <is>
          <t>Madera Point</t>
        </is>
      </c>
      <c r="B168" s="5" t="inlineStr">
        <is>
          <t>445 S Dobson Rd, Mesa, AZ 85202</t>
        </is>
      </c>
      <c r="C168" s="10" t="n">
        <v>4.77</v>
      </c>
      <c r="D168" s="7" t="n">
        <v>256</v>
      </c>
      <c r="E168" s="5" t="inlineStr">
        <is>
          <t>mf</t>
        </is>
      </c>
      <c r="F168" s="8" t="n">
        <v>1985</v>
      </c>
      <c r="G168" s="5" t="inlineStr">
        <is>
          <t>outside the service's preselection of 20: its rents are tracked but no unit group was quoted for it, so it is listed nearby</t>
        </is>
      </c>
    </row>
    <row r="169">
      <c r="A169" s="5" t="inlineStr">
        <is>
          <t>Sandstone Apartments</t>
        </is>
      </c>
      <c r="B169" s="5" t="inlineStr">
        <is>
          <t>1727 W Emelita Ave, Mesa, AZ 85202-3104</t>
        </is>
      </c>
      <c r="C169" s="10" t="n">
        <v>4.79</v>
      </c>
      <c r="D169" s="7" t="n">
        <v>234</v>
      </c>
      <c r="E169" s="5" t="inlineStr">
        <is>
          <t>mf</t>
        </is>
      </c>
      <c r="F169" s="8" t="n">
        <v>1986</v>
      </c>
      <c r="G169" s="5" t="inlineStr">
        <is>
          <t>outside the service's preselection of 20: its rents are tracked but no unit group was quoted for it, so it is listed nearby</t>
        </is>
      </c>
    </row>
    <row r="170">
      <c r="A170" s="5" t="inlineStr">
        <is>
          <t>The Cameron</t>
        </is>
      </c>
      <c r="B170" s="5" t="inlineStr">
        <is>
          <t>2062 E Cameron Way, Tempe, AZ 85281</t>
        </is>
      </c>
      <c r="C170" s="10" t="n">
        <v>4.8</v>
      </c>
      <c r="D170" s="7" t="n">
        <v>349</v>
      </c>
      <c r="E170" s="5" t="inlineStr">
        <is>
          <t>mf</t>
        </is>
      </c>
      <c r="F170" s="8" t="n">
        <v>2020</v>
      </c>
      <c r="G170" s="5" t="inlineStr">
        <is>
          <t>vintage 2020 is 39 years from the subject's 1981, outside the +/-10-year band</t>
        </is>
      </c>
    </row>
    <row r="171">
      <c r="A171" s="5" t="inlineStr">
        <is>
          <t>Mandarina</t>
        </is>
      </c>
      <c r="B171" s="5" t="inlineStr">
        <is>
          <t>5402 E Washington Ave, Phoenix, AZ 85034-2145</t>
        </is>
      </c>
      <c r="C171" s="10" t="n">
        <v>4.81</v>
      </c>
      <c r="D171" s="7" t="n">
        <v>180</v>
      </c>
      <c r="E171" s="5" t="inlineStr">
        <is>
          <t>mf</t>
        </is>
      </c>
      <c r="F171" s="8" t="n">
        <v>2002</v>
      </c>
      <c r="G171" s="5" t="inlineStr">
        <is>
          <t>vintage 2002 is 21 years from the subject's 1981, outside the +/-10-year band</t>
        </is>
      </c>
    </row>
    <row r="172">
      <c r="A172" s="5" t="inlineStr">
        <is>
          <t>Mountain Park Ranch</t>
        </is>
      </c>
      <c r="B172" s="5" t="inlineStr">
        <is>
          <t>4221 E ray Rd, Phoenix, AZ 85044</t>
        </is>
      </c>
      <c r="C172" s="10" t="n">
        <v>4.81</v>
      </c>
      <c r="D172" s="7" t="n">
        <v>240</v>
      </c>
      <c r="E172" s="5" t="inlineStr">
        <is>
          <t>mf</t>
        </is>
      </c>
      <c r="F172" s="8" t="n">
        <v>1994</v>
      </c>
      <c r="G172" s="5" t="inlineStr">
        <is>
          <t>vintage 1994 is 13 years from the subject's 1981, outside the +/-10-year band</t>
        </is>
      </c>
    </row>
    <row r="173">
      <c r="A173" s="5" t="inlineStr">
        <is>
          <t>Westmount at Urban Trails</t>
        </is>
      </c>
      <c r="B173" s="5" t="inlineStr">
        <is>
          <t>1620 W Southern Ave, Mesa, AZ 85202-4828</t>
        </is>
      </c>
      <c r="C173" s="10" t="n">
        <v>4.83</v>
      </c>
      <c r="D173" s="7" t="n">
        <v>156</v>
      </c>
      <c r="E173" s="5" t="inlineStr">
        <is>
          <t>mf</t>
        </is>
      </c>
      <c r="F173" s="8" t="n">
        <v>1974</v>
      </c>
      <c r="G173" s="5" t="inlineStr">
        <is>
          <t>outside the service's preselection of 20: its rents are tracked but no unit group was quoted for it, so it is listed nearby</t>
        </is>
      </c>
    </row>
    <row r="174">
      <c r="A174" s="5" t="inlineStr">
        <is>
          <t>Gila Springs Apartments</t>
        </is>
      </c>
      <c r="B174" s="5" t="inlineStr">
        <is>
          <t>444 N Gila Springs Blvd, Chandler, AZ 85226</t>
        </is>
      </c>
      <c r="C174" s="10" t="n">
        <v>4.87</v>
      </c>
      <c r="D174" s="7" t="n">
        <v>224</v>
      </c>
      <c r="E174" s="5" t="inlineStr">
        <is>
          <t>mf</t>
        </is>
      </c>
      <c r="F174" s="8" t="n">
        <v>1985</v>
      </c>
      <c r="G174" s="5" t="inlineStr">
        <is>
          <t>outside the service's preselection of 20: its rents are tracked but no unit group was quoted for it, so it is listed nearby</t>
        </is>
      </c>
    </row>
    <row r="175">
      <c r="A175" s="5" t="inlineStr">
        <is>
          <t>The Retreat at Rio Salado</t>
        </is>
      </c>
      <c r="B175" s="5" t="inlineStr">
        <is>
          <t>2325 E Rio Salado Pky, Tempe, AZ 85288-7489</t>
        </is>
      </c>
      <c r="C175" s="10" t="n">
        <v>4.89</v>
      </c>
      <c r="D175" s="7" t="n">
        <v>276</v>
      </c>
      <c r="E175" s="5" t="inlineStr">
        <is>
          <t>mf</t>
        </is>
      </c>
      <c r="F175" s="8" t="n">
        <v>2020</v>
      </c>
      <c r="G175" s="5" t="inlineStr">
        <is>
          <t>vintage 2020 is 39 years from the subject's 1981, outside the +/-10-year band</t>
        </is>
      </c>
    </row>
    <row r="176">
      <c r="A176" s="5" t="inlineStr">
        <is>
          <t>The Place at El Prado</t>
        </is>
      </c>
      <c r="B176" s="5" t="inlineStr">
        <is>
          <t>1050 S Longmore, Mesa, AZ 85202</t>
        </is>
      </c>
      <c r="C176" s="10" t="n">
        <v>4.91</v>
      </c>
      <c r="D176" s="7" t="n">
        <v>432</v>
      </c>
      <c r="E176" s="5" t="inlineStr">
        <is>
          <t>mf</t>
        </is>
      </c>
      <c r="F176" s="8" t="n">
        <v>1979</v>
      </c>
      <c r="G176" s="5" t="inlineStr">
        <is>
          <t>outside the service's preselection of 20: its rents are tracked but no unit group was quoted for it, so it is listed nearby</t>
        </is>
      </c>
    </row>
    <row r="177">
      <c r="A177" s="5" t="inlineStr">
        <is>
          <t>The Grayson on the Rail</t>
        </is>
      </c>
      <c r="B177" s="5" t="inlineStr">
        <is>
          <t>5300 E Washington St, Phoenix, AZ 85034-2130</t>
        </is>
      </c>
      <c r="C177" s="10" t="n">
        <v>4.95</v>
      </c>
      <c r="D177" s="7" t="n">
        <v>228</v>
      </c>
      <c r="E177" s="5" t="inlineStr">
        <is>
          <t>mf</t>
        </is>
      </c>
      <c r="F177" s="8" t="n">
        <v>2020</v>
      </c>
      <c r="G177" s="5" t="inlineStr">
        <is>
          <t>vintage 2020 is 39 years from the subject's 1981, outside the +/-10-year band</t>
        </is>
      </c>
    </row>
    <row r="178">
      <c r="A178" s="5" t="inlineStr">
        <is>
          <t>Avia 266</t>
        </is>
      </c>
      <c r="B178" s="5" t="inlineStr">
        <is>
          <t>2354 W University Dr, Mesa, AZ 85201</t>
        </is>
      </c>
      <c r="C178" s="10" t="n">
        <v>4.96</v>
      </c>
      <c r="D178" s="7" t="n">
        <v>267</v>
      </c>
      <c r="E178" s="5" t="inlineStr">
        <is>
          <t>mf</t>
        </is>
      </c>
      <c r="F178" s="8" t="n">
        <v>1984</v>
      </c>
      <c r="G178" s="5" t="inlineStr">
        <is>
          <t>outside the service's preselection of 20: its rents are tracked but no unit group was quoted for it, so it is listed nearby</t>
        </is>
      </c>
    </row>
    <row r="179">
      <c r="A179" s="5" t="inlineStr">
        <is>
          <t>Vista Valley</t>
        </is>
      </c>
      <c r="B179" s="5" t="inlineStr">
        <is>
          <t>922 S Longmore St, Mesa, AZ 85202</t>
        </is>
      </c>
      <c r="C179" s="10" t="n">
        <v>4.96</v>
      </c>
      <c r="D179" s="7" t="n">
        <v>357</v>
      </c>
      <c r="E179" s="5" t="inlineStr">
        <is>
          <t>mf</t>
        </is>
      </c>
      <c r="F179" s="8" t="n">
        <v>1986</v>
      </c>
      <c r="G179" s="5" t="inlineStr">
        <is>
          <t>outside the service's preselection of 20: its rents are tracked but no unit group was quoted for it, so it is listed nearby</t>
        </is>
      </c>
    </row>
    <row r="180">
      <c r="A180" s="5" t="inlineStr">
        <is>
          <t>Alanna</t>
        </is>
      </c>
      <c r="B180" s="5" t="inlineStr">
        <is>
          <t>100 S 48th St, Phoenix, AZ 85034-0018</t>
        </is>
      </c>
      <c r="C180" s="10" t="n">
        <v>5.01</v>
      </c>
      <c r="D180" s="7" t="n">
        <v>320</v>
      </c>
      <c r="E180" s="5" t="inlineStr">
        <is>
          <t>mf</t>
        </is>
      </c>
      <c r="F180" s="8" t="n">
        <v>2026</v>
      </c>
      <c r="G180" s="5" t="inlineStr">
        <is>
          <t>vintage 2026 is 45 years from the subject's 1981, outside the +/-10-year band</t>
        </is>
      </c>
    </row>
    <row r="181">
      <c r="A181" s="5" t="inlineStr">
        <is>
          <t>Del Coronado</t>
        </is>
      </c>
      <c r="B181" s="5" t="inlineStr">
        <is>
          <t>843 S Longmore, Mesa, AZ 85202-3153</t>
        </is>
      </c>
      <c r="C181" s="10" t="n">
        <v>5.02</v>
      </c>
      <c r="D181" s="7" t="n">
        <v>419</v>
      </c>
      <c r="E181" s="5" t="inlineStr">
        <is>
          <t>mf</t>
        </is>
      </c>
      <c r="F181" s="8" t="n">
        <v>1984</v>
      </c>
      <c r="G181" s="5" t="inlineStr">
        <is>
          <t>outside the service's preselection of 20: its rents are tracked but no unit group was quoted for it, so it is listed nearby</t>
        </is>
      </c>
    </row>
    <row r="182">
      <c r="A182" s="5" t="inlineStr">
        <is>
          <t>The District at Fiesta Park</t>
        </is>
      </c>
      <c r="B182" s="5" t="inlineStr">
        <is>
          <t>1033 S Longmore St, Mesa, AZ 85202</t>
        </is>
      </c>
      <c r="C182" s="10" t="n">
        <v>5.05</v>
      </c>
      <c r="D182" s="7" t="n">
        <v>321</v>
      </c>
      <c r="E182" s="5" t="inlineStr">
        <is>
          <t>mf</t>
        </is>
      </c>
      <c r="F182" s="8" t="n">
        <v>1979</v>
      </c>
      <c r="G182" s="5" t="inlineStr">
        <is>
          <t>outside the service's preselection of 20: its rents are tracked but no unit group was quoted for it, so it is listed nearby</t>
        </is>
      </c>
    </row>
    <row r="183">
      <c r="A183" s="5" t="inlineStr">
        <is>
          <t>Aster on University</t>
        </is>
      </c>
      <c r="B183" s="5" t="inlineStr">
        <is>
          <t>2240 W University Dr, Mesa, AZ 85201-5262</t>
        </is>
      </c>
      <c r="C183" s="10" t="n">
        <v>5.06</v>
      </c>
      <c r="D183" s="7" t="n">
        <v>285</v>
      </c>
      <c r="E183" s="5" t="inlineStr">
        <is>
          <t>mf</t>
        </is>
      </c>
      <c r="F183" s="8" t="n">
        <v>1977</v>
      </c>
      <c r="G183" s="5" t="inlineStr">
        <is>
          <t>outside the service's preselection of 20: its rents are tracked but no unit group was quoted for it, so it is listed nearby</t>
        </is>
      </c>
    </row>
    <row r="184">
      <c r="A184" s="5" t="inlineStr">
        <is>
          <t>Red Rox</t>
        </is>
      </c>
      <c r="B184" s="5" t="inlineStr">
        <is>
          <t>5401 E Van Buren St, Phoenix, AZ 85008</t>
        </is>
      </c>
      <c r="C184" s="10" t="n">
        <v>5.07</v>
      </c>
      <c r="D184" s="7" t="n">
        <v>99</v>
      </c>
      <c r="E184" s="5" t="inlineStr">
        <is>
          <t>mf</t>
        </is>
      </c>
      <c r="F184" s="8" t="n">
        <v>1999</v>
      </c>
      <c r="G184" s="5" t="inlineStr">
        <is>
          <t>vintage 1999 is 18 years from the subject's 1981, outside the +/-10-year band</t>
        </is>
      </c>
    </row>
    <row r="185">
      <c r="A185" s="5" t="inlineStr">
        <is>
          <t>Westmount at the District</t>
        </is>
      </c>
      <c r="B185" s="5" t="inlineStr">
        <is>
          <t>949 S Longmore, Mesa, AZ 85202-4364</t>
        </is>
      </c>
      <c r="C185" s="10" t="n">
        <v>5.07</v>
      </c>
      <c r="D185" s="7" t="n">
        <v>154</v>
      </c>
      <c r="E185" s="5" t="inlineStr">
        <is>
          <t>mf</t>
        </is>
      </c>
      <c r="F185" s="8" t="n">
        <v>1979</v>
      </c>
      <c r="G185" s="5" t="inlineStr">
        <is>
          <t>outside the service's preselection of 20: its rents are tracked but no unit group was quoted for it, so it is listed nearby</t>
        </is>
      </c>
    </row>
    <row r="186">
      <c r="A186" s="5" t="inlineStr">
        <is>
          <t>Arboretum at South Mountain</t>
        </is>
      </c>
      <c r="B186" s="5" t="inlineStr">
        <is>
          <t>15251 S 50th St, Phoenix, AZ 85044-9104</t>
        </is>
      </c>
      <c r="C186" s="10" t="n">
        <v>5.09</v>
      </c>
      <c r="D186" s="7" t="n">
        <v>312</v>
      </c>
      <c r="E186" s="5" t="inlineStr">
        <is>
          <t>mf</t>
        </is>
      </c>
      <c r="F186" s="8" t="n">
        <v>1999</v>
      </c>
      <c r="G186" s="5" t="inlineStr">
        <is>
          <t>vintage 1999 is 18 years from the subject's 1981, outside the +/-10-year band</t>
        </is>
      </c>
    </row>
    <row r="187">
      <c r="A187" s="5" t="inlineStr">
        <is>
          <t>The Pomeroy</t>
        </is>
      </c>
      <c r="B187" s="5" t="inlineStr">
        <is>
          <t>139 N Dobson Rd, Mesa, AZ 85201</t>
        </is>
      </c>
      <c r="C187" s="10" t="n">
        <v>5.12</v>
      </c>
      <c r="D187" s="7" t="n">
        <v>245</v>
      </c>
      <c r="E187" s="5" t="inlineStr">
        <is>
          <t>mf</t>
        </is>
      </c>
      <c r="F187" s="8" t="n">
        <v>2025</v>
      </c>
      <c r="G187" s="5" t="inlineStr">
        <is>
          <t>vintage 2025 is 44 years from the subject's 1981, outside the +/-10-year band</t>
        </is>
      </c>
    </row>
    <row r="188">
      <c r="A188" s="5" t="inlineStr">
        <is>
          <t>IMT Riverview</t>
        </is>
      </c>
      <c r="B188" s="5" t="inlineStr">
        <is>
          <t>711 N Evergreen Rd, Mesa, AZ 85201-7520</t>
        </is>
      </c>
      <c r="C188" s="10" t="n">
        <v>5.2</v>
      </c>
      <c r="D188" s="7" t="n">
        <v>340</v>
      </c>
      <c r="E188" s="5" t="inlineStr">
        <is>
          <t>mf</t>
        </is>
      </c>
      <c r="F188" s="8" t="n">
        <v>1999</v>
      </c>
      <c r="G188" s="5" t="inlineStr">
        <is>
          <t>vintage 1999 is 18 years from the subject's 1981, outside the +/-10-year band</t>
        </is>
      </c>
    </row>
    <row r="189">
      <c r="A189" s="5" t="inlineStr">
        <is>
          <t>Lemon &amp; Pear Tree Apartments</t>
        </is>
      </c>
      <c r="B189" s="5" t="inlineStr">
        <is>
          <t>1750 S Alma School Rd, Mesa, AZ 85210-3016</t>
        </is>
      </c>
      <c r="C189" s="10" t="n">
        <v>5.2</v>
      </c>
      <c r="D189" s="7" t="n">
        <v>163</v>
      </c>
      <c r="E189" s="5" t="inlineStr">
        <is>
          <t>mf</t>
        </is>
      </c>
      <c r="F189" s="8" t="n">
        <v>1981</v>
      </c>
      <c r="G189" s="5" t="inlineStr">
        <is>
          <t>outside the service's preselection of 20: its rents are tracked but no unit group was quoted for it, so it is listed nearby</t>
        </is>
      </c>
    </row>
    <row r="190">
      <c r="A190" s="5" t="inlineStr">
        <is>
          <t>San Palmas</t>
        </is>
      </c>
      <c r="B190" s="5" t="inlineStr">
        <is>
          <t>1111 N Mission Park Blvd, Chandler, AZ 85224</t>
        </is>
      </c>
      <c r="C190" s="10" t="n">
        <v>5.2</v>
      </c>
      <c r="D190" s="7" t="n">
        <v>240</v>
      </c>
      <c r="E190" s="5" t="inlineStr">
        <is>
          <t>mf</t>
        </is>
      </c>
      <c r="F190" s="8" t="n">
        <v>1998</v>
      </c>
      <c r="G190" s="5" t="inlineStr">
        <is>
          <t>vintage 1998 is 17 years from the subject's 1981, outside the +/-10-year band</t>
        </is>
      </c>
    </row>
    <row r="191">
      <c r="A191" s="5" t="inlineStr">
        <is>
          <t>Polanco Apartments</t>
        </is>
      </c>
      <c r="B191" s="5" t="inlineStr">
        <is>
          <t>7220 E McKellips Rd, Scottsdale, AZ 85257-4243</t>
        </is>
      </c>
      <c r="C191" s="10" t="n">
        <v>5.26</v>
      </c>
      <c r="D191" s="7" t="n">
        <v>131</v>
      </c>
      <c r="E191" s="5" t="inlineStr">
        <is>
          <t>mf</t>
        </is>
      </c>
      <c r="F191" s="8" t="n">
        <v>1978</v>
      </c>
      <c r="G191" s="5" t="inlineStr">
        <is>
          <t>outside the service's preselection of 20: its rents are tracked but no unit group was quoted for it, so it is listed nearby</t>
        </is>
      </c>
    </row>
    <row r="192">
      <c r="A192" s="5" t="inlineStr">
        <is>
          <t>Pinnacle Terrace</t>
        </is>
      </c>
      <c r="B192" s="5" t="inlineStr">
        <is>
          <t>801 N Federal St, Chandler, AZ 85226</t>
        </is>
      </c>
      <c r="C192" s="10" t="n">
        <v>5.27</v>
      </c>
      <c r="D192" s="7" t="n">
        <v>300</v>
      </c>
      <c r="E192" s="5" t="inlineStr">
        <is>
          <t>mf</t>
        </is>
      </c>
      <c r="F192" s="8" t="n">
        <v>1998</v>
      </c>
      <c r="G192" s="5" t="inlineStr">
        <is>
          <t>vintage 1998 is 17 years from the subject's 1981, outside the +/-10-year band</t>
        </is>
      </c>
    </row>
    <row r="193">
      <c r="A193" s="5" t="inlineStr">
        <is>
          <t>Corsica Villas at 20th Street</t>
        </is>
      </c>
      <c r="B193" s="5" t="inlineStr">
        <is>
          <t>8181 S 20th St, Phoenix, AZ 85042-6946</t>
        </is>
      </c>
      <c r="C193" s="10" t="n">
        <v>5.29</v>
      </c>
      <c r="D193" s="7" t="n">
        <v>68</v>
      </c>
      <c r="E193" s="5" t="inlineStr">
        <is>
          <t>bfr</t>
        </is>
      </c>
      <c r="F193" s="12" t="n"/>
      <c r="G193" s="5" t="inlineStr">
        <is>
          <t>different product: tracked as bfr, subject is MF</t>
        </is>
      </c>
    </row>
    <row r="194">
      <c r="A194" s="5" t="inlineStr">
        <is>
          <t>Scottsdale Gateway</t>
        </is>
      </c>
      <c r="B194" s="5" t="inlineStr">
        <is>
          <t>2100 N Scottsdale Rd, Tempe, AZ 85288-1365</t>
        </is>
      </c>
      <c r="C194" s="10" t="n">
        <v>5.29</v>
      </c>
      <c r="D194" s="7" t="n">
        <v>487</v>
      </c>
      <c r="E194" s="5" t="inlineStr">
        <is>
          <t>mf</t>
        </is>
      </c>
      <c r="F194" s="8" t="n">
        <v>1972</v>
      </c>
      <c r="G194" s="5" t="inlineStr">
        <is>
          <t>outside the service's preselection of 20: its rents are tracked but no unit group was quoted for it, so it is listed nearby</t>
        </is>
      </c>
    </row>
    <row r="195">
      <c r="A195" s="5" t="inlineStr">
        <is>
          <t>Ascent at Papago Park</t>
        </is>
      </c>
      <c r="B195" s="5" t="inlineStr">
        <is>
          <t>4950 E Van Buren St, Phoenix, AZ 85008</t>
        </is>
      </c>
      <c r="C195" s="10" t="n">
        <v>5.3</v>
      </c>
      <c r="D195" s="7" t="n">
        <v>270</v>
      </c>
      <c r="E195" s="5" t="inlineStr">
        <is>
          <t>mf</t>
        </is>
      </c>
      <c r="F195" s="8" t="n">
        <v>2007</v>
      </c>
      <c r="G195" s="5" t="inlineStr">
        <is>
          <t>vintage 2007 is 26 years from the subject's 1981, outside the +/-10-year band</t>
        </is>
      </c>
    </row>
    <row r="196">
      <c r="A196" s="5" t="inlineStr">
        <is>
          <t>The Landing at Fiesta Village</t>
        </is>
      </c>
      <c r="B196" s="5" t="inlineStr">
        <is>
          <t>1310 W Southern Ave, Mesa, AZ 85202-4855</t>
        </is>
      </c>
      <c r="C196" s="10" t="n">
        <v>5.3</v>
      </c>
      <c r="D196" s="7" t="n">
        <v>220</v>
      </c>
      <c r="E196" s="5" t="inlineStr">
        <is>
          <t>mf</t>
        </is>
      </c>
      <c r="F196" s="8" t="n">
        <v>2022</v>
      </c>
      <c r="G196" s="5" t="inlineStr">
        <is>
          <t>vintage 2022 is 41 years from the subject's 1981, outside the +/-10-year band</t>
        </is>
      </c>
    </row>
    <row r="197">
      <c r="A197" s="5" t="inlineStr">
        <is>
          <t>Vetra Mesa</t>
        </is>
      </c>
      <c r="B197" s="5" t="inlineStr">
        <is>
          <t>1055 W Baseline Rd, Mesa, AZ 85210-9502</t>
        </is>
      </c>
      <c r="C197" s="10" t="n">
        <v>5.3</v>
      </c>
      <c r="D197" s="7" t="n">
        <v>200</v>
      </c>
      <c r="E197" s="5" t="inlineStr">
        <is>
          <t>mf</t>
        </is>
      </c>
      <c r="F197" s="8" t="n">
        <v>1984</v>
      </c>
      <c r="G197" s="5" t="inlineStr">
        <is>
          <t>outside the service's preselection of 20: its rents are tracked but no unit group was quoted for it, so it is listed nearby</t>
        </is>
      </c>
    </row>
    <row r="198">
      <c r="A198" s="5" t="inlineStr">
        <is>
          <t>The Tessera</t>
        </is>
      </c>
      <c r="B198" s="5" t="inlineStr">
        <is>
          <t>4713 E Van Buren St, Phoenix, AZ 85008</t>
        </is>
      </c>
      <c r="C198" s="10" t="n">
        <v>5.32</v>
      </c>
      <c r="D198" s="7" t="n">
        <v>240</v>
      </c>
      <c r="E198" s="5" t="inlineStr">
        <is>
          <t>mf</t>
        </is>
      </c>
      <c r="F198" s="8" t="n">
        <v>2020</v>
      </c>
      <c r="G198" s="5" t="inlineStr">
        <is>
          <t>vintage 2020 is 39 years from the subject's 1981, outside the +/-10-year band</t>
        </is>
      </c>
    </row>
    <row r="199">
      <c r="A199" s="5" t="inlineStr">
        <is>
          <t>Tanner Manor</t>
        </is>
      </c>
      <c r="B199" s="5" t="inlineStr">
        <is>
          <t>2150 E Broadway Rd, Phoenix, AZ 85040-2597</t>
        </is>
      </c>
      <c r="C199" s="10" t="n">
        <v>5.33</v>
      </c>
      <c r="D199" s="7" t="n">
        <v>110</v>
      </c>
      <c r="E199" s="5" t="inlineStr">
        <is>
          <t>mf</t>
        </is>
      </c>
      <c r="F199" s="8" t="n">
        <v>2003</v>
      </c>
      <c r="G199" s="5" t="inlineStr">
        <is>
          <t>excluded from comp sets by the tracker: income_restricted</t>
        </is>
      </c>
    </row>
    <row r="200">
      <c r="A200" s="5" t="inlineStr">
        <is>
          <t>The Wayne</t>
        </is>
      </c>
      <c r="B200" s="5" t="inlineStr">
        <is>
          <t>1535 N Dobson Rd, Chandler, AZ 85224-8580</t>
        </is>
      </c>
      <c r="C200" s="10" t="n">
        <v>5.33</v>
      </c>
      <c r="D200" s="7" t="n">
        <v>100</v>
      </c>
      <c r="E200" s="5" t="inlineStr">
        <is>
          <t>bfr</t>
        </is>
      </c>
      <c r="F200" s="12" t="n"/>
      <c r="G200" s="5" t="inlineStr">
        <is>
          <t>different product: tracked as bfr, subject is MF</t>
        </is>
      </c>
    </row>
    <row r="201">
      <c r="A201" s="5" t="inlineStr">
        <is>
          <t>Avana Coronado</t>
        </is>
      </c>
      <c r="B201" s="5" t="inlineStr">
        <is>
          <t>700 N Coronado St, Chandler, AZ 85224</t>
        </is>
      </c>
      <c r="C201" s="10" t="n">
        <v>5.34</v>
      </c>
      <c r="D201" s="7" t="n">
        <v>320</v>
      </c>
      <c r="E201" s="5" t="inlineStr">
        <is>
          <t>mf</t>
        </is>
      </c>
      <c r="F201" s="8" t="n">
        <v>1998</v>
      </c>
      <c r="G201" s="5" t="inlineStr">
        <is>
          <t>vintage 1998 is 17 years from the subject's 1981, outside the +/-10-year band</t>
        </is>
      </c>
    </row>
    <row r="202">
      <c r="A202" s="5" t="inlineStr">
        <is>
          <t>Papago Vista</t>
        </is>
      </c>
      <c r="B202" s="5" t="inlineStr">
        <is>
          <t>5312 E Taylor St, Phoenix, AZ 85008-6713</t>
        </is>
      </c>
      <c r="C202" s="10" t="n">
        <v>5.34</v>
      </c>
      <c r="D202" s="7" t="n">
        <v>135</v>
      </c>
      <c r="E202" s="5" t="inlineStr">
        <is>
          <t>mf</t>
        </is>
      </c>
      <c r="F202" s="8" t="n">
        <v>1986</v>
      </c>
      <c r="G202" s="5" t="inlineStr">
        <is>
          <t>outside the service's preselection of 20: its rents are tracked but no unit group was quoted for it, so it is listed nearby</t>
        </is>
      </c>
    </row>
    <row r="203">
      <c r="A203" s="5" t="inlineStr">
        <is>
          <t>CIRQ 44</t>
        </is>
      </c>
      <c r="B203" s="5" t="inlineStr">
        <is>
          <t>111 N Dupont Cir, Phoenix, AZ 85034</t>
        </is>
      </c>
      <c r="C203" s="10" t="n">
        <v>5.35</v>
      </c>
      <c r="D203" s="7" t="n">
        <v>297</v>
      </c>
      <c r="E203" s="5" t="inlineStr">
        <is>
          <t>mf</t>
        </is>
      </c>
      <c r="F203" s="8" t="n">
        <v>2016</v>
      </c>
      <c r="G203" s="5" t="inlineStr">
        <is>
          <t>vintage 2016 is 35 years from the subject's 1981, outside the +/-10-year band</t>
        </is>
      </c>
    </row>
    <row r="204">
      <c r="A204" s="5" t="inlineStr">
        <is>
          <t>Morrison Chandler</t>
        </is>
      </c>
      <c r="B204" s="5" t="inlineStr">
        <is>
          <t>3950 W Chandler Blvd, Chandler, AZ 85226-2521</t>
        </is>
      </c>
      <c r="C204" s="10" t="n">
        <v>5.41</v>
      </c>
      <c r="D204" s="7" t="n">
        <v>283</v>
      </c>
      <c r="E204" s="5" t="inlineStr">
        <is>
          <t>mf</t>
        </is>
      </c>
      <c r="F204" s="8" t="n">
        <v>2018</v>
      </c>
      <c r="G204" s="5" t="inlineStr">
        <is>
          <t>vintage 2018 is 37 years from the subject's 1981, outside the +/-10-year band</t>
        </is>
      </c>
    </row>
    <row r="205">
      <c r="A205" s="5" t="inlineStr">
        <is>
          <t>Towne Square Apartment Homes</t>
        </is>
      </c>
      <c r="B205" s="5" t="inlineStr">
        <is>
          <t>500 N Metro Blvd, Chandler, AZ 85226</t>
        </is>
      </c>
      <c r="C205" s="10" t="n">
        <v>5.42</v>
      </c>
      <c r="D205" s="7" t="n">
        <v>584</v>
      </c>
      <c r="E205" s="5" t="inlineStr">
        <is>
          <t>mf</t>
        </is>
      </c>
      <c r="F205" s="8" t="n">
        <v>1987</v>
      </c>
      <c r="G205" s="5" t="inlineStr">
        <is>
          <t>outside the service's preselection of 20: its rents are tracked but no unit group was quoted for it, so it is listed nearby</t>
        </is>
      </c>
    </row>
    <row r="206">
      <c r="A206" s="5" t="inlineStr">
        <is>
          <t>LINQ at South Mountain</t>
        </is>
      </c>
      <c r="B206" s="5" t="inlineStr">
        <is>
          <t>1700 E Baseline Rd, Phoenix, AZ 85042-6767</t>
        </is>
      </c>
      <c r="C206" s="10" t="n">
        <v>5.43</v>
      </c>
      <c r="D206" s="7" t="n">
        <v>80</v>
      </c>
      <c r="E206" s="5" t="inlineStr">
        <is>
          <t>bfr</t>
        </is>
      </c>
      <c r="F206" s="12" t="n"/>
      <c r="G206" s="5" t="inlineStr">
        <is>
          <t>different product: tracked as bfr, subject is MF</t>
        </is>
      </c>
    </row>
    <row r="207">
      <c r="A207" s="5" t="inlineStr">
        <is>
          <t>Andante Apartments</t>
        </is>
      </c>
      <c r="B207" s="5" t="inlineStr">
        <is>
          <t>15801 S 48th St, Phoenix, AZ 85048</t>
        </is>
      </c>
      <c r="C207" s="10" t="n">
        <v>5.49</v>
      </c>
      <c r="D207" s="7" t="n">
        <v>576</v>
      </c>
      <c r="E207" s="5" t="inlineStr">
        <is>
          <t>mf</t>
        </is>
      </c>
      <c r="F207" s="8" t="n">
        <v>1999</v>
      </c>
      <c r="G207" s="5" t="inlineStr">
        <is>
          <t>vintage 1999 is 18 years from the subject's 1981, outside the +/-10-year band</t>
        </is>
      </c>
    </row>
    <row r="208">
      <c r="A208" s="5" t="inlineStr">
        <is>
          <t>San Paulo Apartments</t>
        </is>
      </c>
      <c r="B208" s="5" t="inlineStr">
        <is>
          <t>14625 S Mountain Pkwy, Phoenix, AZ 85044</t>
        </is>
      </c>
      <c r="C208" s="10" t="n">
        <v>5.5</v>
      </c>
      <c r="D208" s="7" t="n">
        <v>208</v>
      </c>
      <c r="E208" s="5" t="inlineStr">
        <is>
          <t>mf</t>
        </is>
      </c>
      <c r="F208" s="8" t="n">
        <v>1996</v>
      </c>
      <c r="G208" s="5" t="inlineStr">
        <is>
          <t>vintage 1996 is 15 years from the subject's 1981, outside the +/-10-year band</t>
        </is>
      </c>
    </row>
    <row r="209">
      <c r="A209" s="5" t="inlineStr">
        <is>
          <t>Tracked community 2 (name withheld by the publishing check)</t>
        </is>
      </c>
      <c r="B209" s="12" t="n"/>
      <c r="C209" s="10" t="n">
        <v>5.52</v>
      </c>
      <c r="D209" s="7" t="n">
        <v>117</v>
      </c>
      <c r="E209" s="5" t="inlineStr">
        <is>
          <t>mf</t>
        </is>
      </c>
      <c r="F209" s="8" t="n">
        <v>1986</v>
      </c>
      <c r="G209" s="5" t="inlineStr">
        <is>
          <t>outside the service's preselection of 20: its rents are tracked but no unit group was quoted for it, so it is listed nearby; name withheld by the publishing check</t>
        </is>
      </c>
    </row>
    <row r="210">
      <c r="A210" s="5" t="inlineStr">
        <is>
          <t>Stonegate Furnished Apartments</t>
        </is>
      </c>
      <c r="B210" s="5" t="inlineStr">
        <is>
          <t>825 S Alma School Rd, Mesa, AZ 85210-2003</t>
        </is>
      </c>
      <c r="C210" s="10" t="n">
        <v>5.54</v>
      </c>
      <c r="D210" s="7" t="n">
        <v>222</v>
      </c>
      <c r="E210" s="5" t="inlineStr">
        <is>
          <t>mf</t>
        </is>
      </c>
      <c r="F210" s="8" t="n">
        <v>1978</v>
      </c>
      <c r="G210" s="5" t="inlineStr">
        <is>
          <t>outside the service's preselection of 20: its rents are tracked but no unit group was quoted for it, so it is listed nearby</t>
        </is>
      </c>
    </row>
    <row r="211">
      <c r="A211" s="5" t="inlineStr">
        <is>
          <t>Liv Ahwatukee</t>
        </is>
      </c>
      <c r="B211" s="5" t="inlineStr">
        <is>
          <t>16025 S 50th St, Phoenix, AZ 85048</t>
        </is>
      </c>
      <c r="C211" s="10" t="n">
        <v>5.57</v>
      </c>
      <c r="D211" s="7" t="n">
        <v>402</v>
      </c>
      <c r="E211" s="5" t="inlineStr">
        <is>
          <t>mf</t>
        </is>
      </c>
      <c r="F211" s="8" t="n">
        <v>2014</v>
      </c>
      <c r="G211" s="5" t="inlineStr">
        <is>
          <t>vintage 2014 is 33 years from the subject's 1981, outside the +/-10-year band</t>
        </is>
      </c>
    </row>
    <row r="212">
      <c r="A212" s="5" t="inlineStr">
        <is>
          <t>Modena</t>
        </is>
      </c>
      <c r="B212" s="5" t="inlineStr">
        <is>
          <t>815 N 52nd St, Phoenix, AZ 85008</t>
        </is>
      </c>
      <c r="C212" s="10" t="n">
        <v>5.57</v>
      </c>
      <c r="D212" s="7" t="n">
        <v>768</v>
      </c>
      <c r="E212" s="5" t="inlineStr">
        <is>
          <t>mf</t>
        </is>
      </c>
      <c r="F212" s="8" t="n">
        <v>1987</v>
      </c>
      <c r="G212" s="5" t="inlineStr">
        <is>
          <t>outside the service's preselection of 20: its rents are tracked but no unit group was quoted for it, so it is listed nearby</t>
        </is>
      </c>
    </row>
    <row r="213">
      <c r="A213" s="5" t="inlineStr">
        <is>
          <t>Beacon at 601</t>
        </is>
      </c>
      <c r="B213" s="5" t="inlineStr">
        <is>
          <t>601 S Alma School Rd, Mesa, AZ 85210</t>
        </is>
      </c>
      <c r="C213" s="10" t="n">
        <v>5.62</v>
      </c>
      <c r="D213" s="7" t="n">
        <v>276</v>
      </c>
      <c r="E213" s="5" t="inlineStr">
        <is>
          <t>mf</t>
        </is>
      </c>
      <c r="F213" s="8" t="n">
        <v>1984</v>
      </c>
      <c r="G213" s="5" t="inlineStr">
        <is>
          <t>outside the service's preselection of 20: its rents are tracked but no unit group was quoted for it, so it is listed nearby</t>
        </is>
      </c>
    </row>
    <row r="214">
      <c r="A214" s="5" t="inlineStr">
        <is>
          <t>Rise Valley Heights</t>
        </is>
      </c>
      <c r="B214" s="5" t="inlineStr">
        <is>
          <t>1050 W 8th Ave, Mesa, AZ 85210</t>
        </is>
      </c>
      <c r="C214" s="10" t="n">
        <v>5.62</v>
      </c>
      <c r="D214" s="7" t="n">
        <v>194</v>
      </c>
      <c r="E214" s="5" t="inlineStr">
        <is>
          <t>mf</t>
        </is>
      </c>
      <c r="F214" s="8" t="n">
        <v>1986</v>
      </c>
      <c r="G214" s="5" t="inlineStr">
        <is>
          <t>outside the service's preselection of 20: its rents are tracked but no unit group was quoted for it, so it is listed nearby</t>
        </is>
      </c>
    </row>
    <row r="215">
      <c r="A215" s="5" t="inlineStr">
        <is>
          <t>Boulder Creek</t>
        </is>
      </c>
      <c r="B215" s="5" t="inlineStr">
        <is>
          <t>915 N 52nd St, Phoenix, AZ 85008</t>
        </is>
      </c>
      <c r="C215" s="10" t="n">
        <v>5.64</v>
      </c>
      <c r="D215" s="7" t="n">
        <v>148</v>
      </c>
      <c r="E215" s="5" t="inlineStr">
        <is>
          <t>mf</t>
        </is>
      </c>
      <c r="F215" s="8" t="n">
        <v>1984</v>
      </c>
      <c r="G215" s="5" t="inlineStr">
        <is>
          <t>outside the service's preselection of 20: its rents are tracked but no unit group was quoted for it, so it is listed nearby</t>
        </is>
      </c>
    </row>
    <row r="216">
      <c r="A216" s="5" t="inlineStr">
        <is>
          <t>Fiesta Village</t>
        </is>
      </c>
      <c r="B216" s="5" t="inlineStr">
        <is>
          <t>960 W Southern Ave, Mesa, AZ 85210</t>
        </is>
      </c>
      <c r="C216" s="10" t="n">
        <v>5.66</v>
      </c>
      <c r="D216" s="7" t="n">
        <v>201</v>
      </c>
      <c r="E216" s="5" t="inlineStr">
        <is>
          <t>mf</t>
        </is>
      </c>
      <c r="F216" s="8" t="n">
        <v>1978</v>
      </c>
      <c r="G216" s="5" t="inlineStr">
        <is>
          <t>outside the service's preselection of 20: its rents are tracked but no unit group was quoted for it, so it is listed nearby</t>
        </is>
      </c>
    </row>
    <row r="217">
      <c r="A217" s="5" t="inlineStr">
        <is>
          <t>Riata</t>
        </is>
      </c>
      <c r="B217" s="5" t="inlineStr">
        <is>
          <t>100 N Hearthstone Way, Chandler, AZ 85226</t>
        </is>
      </c>
      <c r="C217" s="10" t="n">
        <v>5.66</v>
      </c>
      <c r="D217" s="7" t="n">
        <v>300</v>
      </c>
      <c r="E217" s="5" t="inlineStr">
        <is>
          <t>mf</t>
        </is>
      </c>
      <c r="F217" s="8" t="n">
        <v>2019</v>
      </c>
      <c r="G217" s="5" t="inlineStr">
        <is>
          <t>vintage 2019 is 38 years from the subject's 1981, outside the +/-10-year band</t>
        </is>
      </c>
    </row>
    <row r="218">
      <c r="A218" s="5" t="inlineStr">
        <is>
          <t>Club Cancun</t>
        </is>
      </c>
      <c r="B218" s="5" t="inlineStr">
        <is>
          <t>375 N Federal St, Chandler, AZ 85226</t>
        </is>
      </c>
      <c r="C218" s="10" t="n">
        <v>5.67</v>
      </c>
      <c r="D218" s="7" t="n">
        <v>140</v>
      </c>
      <c r="E218" s="5" t="inlineStr">
        <is>
          <t>mf</t>
        </is>
      </c>
      <c r="F218" s="8" t="n">
        <v>1996</v>
      </c>
      <c r="G218" s="5" t="inlineStr">
        <is>
          <t>vintage 1996 is 15 years from the subject's 1981, outside the +/-10-year band</t>
        </is>
      </c>
    </row>
    <row r="219">
      <c r="A219" s="5" t="inlineStr">
        <is>
          <t>Allegro</t>
        </is>
      </c>
      <c r="B219" s="5" t="inlineStr">
        <is>
          <t>4411 E Chandler Blvd, Phoenix, AZ 85048</t>
        </is>
      </c>
      <c r="C219" s="10" t="n">
        <v>5.68</v>
      </c>
      <c r="D219" s="7" t="n">
        <v>264</v>
      </c>
      <c r="E219" s="5" t="inlineStr">
        <is>
          <t>mf</t>
        </is>
      </c>
      <c r="F219" s="8" t="n">
        <v>1996</v>
      </c>
      <c r="G219" s="5" t="inlineStr">
        <is>
          <t>vintage 1996 is 15 years from the subject's 1981, outside the +/-10-year band</t>
        </is>
      </c>
    </row>
    <row r="220">
      <c r="A220" s="5" t="inlineStr">
        <is>
          <t>The MET at Fashion Center</t>
        </is>
      </c>
      <c r="B220" s="5" t="inlineStr">
        <is>
          <t>1 N Hearthstone Way, Chandler, AZ 85226</t>
        </is>
      </c>
      <c r="C220" s="10" t="n">
        <v>5.72</v>
      </c>
      <c r="D220" s="7" t="n">
        <v>303</v>
      </c>
      <c r="E220" s="5" t="inlineStr">
        <is>
          <t>mf</t>
        </is>
      </c>
      <c r="F220" s="8" t="n">
        <v>2015</v>
      </c>
      <c r="G220" s="5" t="inlineStr">
        <is>
          <t>vintage 2015 is 34 years from the subject's 1981, outside the +/-10-year band</t>
        </is>
      </c>
    </row>
    <row r="221">
      <c r="A221" s="5" t="inlineStr">
        <is>
          <t>Verona Park Apartments</t>
        </is>
      </c>
      <c r="B221" s="5" t="inlineStr">
        <is>
          <t>1666 S Extension Rd, Mesa, AZ 85210-9312</t>
        </is>
      </c>
      <c r="C221" s="10" t="n">
        <v>5.77</v>
      </c>
      <c r="D221" s="7" t="n">
        <v>304</v>
      </c>
      <c r="E221" s="5" t="inlineStr">
        <is>
          <t>mf</t>
        </is>
      </c>
      <c r="F221" s="8" t="n">
        <v>1981</v>
      </c>
      <c r="G221" s="5" t="inlineStr">
        <is>
          <t>outside the service's preselection of 20: its rents are tracked but no unit group was quoted for it, so it is listed nearby</t>
        </is>
      </c>
    </row>
    <row r="222">
      <c r="A222" s="5" t="inlineStr">
        <is>
          <t>San Cervantes</t>
        </is>
      </c>
      <c r="B222" s="5" t="inlineStr">
        <is>
          <t>400 N Coronado St, Chandler, AZ 85224</t>
        </is>
      </c>
      <c r="C222" s="10" t="n">
        <v>5.78</v>
      </c>
      <c r="D222" s="7" t="n">
        <v>376</v>
      </c>
      <c r="E222" s="5" t="inlineStr">
        <is>
          <t>mf</t>
        </is>
      </c>
      <c r="F222" s="8" t="n">
        <v>2001</v>
      </c>
      <c r="G222" s="5" t="inlineStr">
        <is>
          <t>vintage 2001 is 20 years from the subject's 1981, outside the +/-10-year band</t>
        </is>
      </c>
    </row>
    <row r="223">
      <c r="A223" s="5" t="inlineStr">
        <is>
          <t>Banyan at South Mountain</t>
        </is>
      </c>
      <c r="B223" s="5" t="inlineStr">
        <is>
          <t>1540 E Burgess Ln, Phoenix, AZ 85042-4478</t>
        </is>
      </c>
      <c r="C223" s="10" t="n">
        <v>5.79</v>
      </c>
      <c r="D223" s="7" t="n">
        <v>72</v>
      </c>
      <c r="E223" s="5" t="inlineStr">
        <is>
          <t>bfr</t>
        </is>
      </c>
      <c r="F223" s="12" t="n"/>
      <c r="G223" s="5" t="inlineStr">
        <is>
          <t>different product: tracked as bfr, subject is MF</t>
        </is>
      </c>
    </row>
    <row r="224">
      <c r="A224" s="5" t="inlineStr">
        <is>
          <t>Southern Avenue Villas</t>
        </is>
      </c>
      <c r="B224" s="5" t="inlineStr">
        <is>
          <t>855 W Southern Ave, Mesa, AZ 85210</t>
        </is>
      </c>
      <c r="C224" s="10" t="n">
        <v>5.81</v>
      </c>
      <c r="D224" s="7" t="n">
        <v>384</v>
      </c>
      <c r="E224" s="5" t="inlineStr">
        <is>
          <t>mf</t>
        </is>
      </c>
      <c r="F224" s="8" t="n">
        <v>2016</v>
      </c>
      <c r="G224" s="5" t="inlineStr">
        <is>
          <t>vintage 2016 is 35 years from the subject's 1981, outside the +/-10-year band</t>
        </is>
      </c>
    </row>
    <row r="225">
      <c r="A225" s="5" t="inlineStr">
        <is>
          <t>The Link</t>
        </is>
      </c>
      <c r="B225" s="5" t="inlineStr">
        <is>
          <t>1457 W University Dr, Mesa, AZ 85201-5426</t>
        </is>
      </c>
      <c r="C225" s="10" t="n">
        <v>5.81</v>
      </c>
      <c r="D225" s="7" t="n">
        <v>199</v>
      </c>
      <c r="E225" s="5" t="inlineStr">
        <is>
          <t>mf</t>
        </is>
      </c>
      <c r="F225" s="8" t="n">
        <v>1970</v>
      </c>
      <c r="G225" s="5" t="inlineStr">
        <is>
          <t>vintage 1970 is 11 years from the subject's 1981, outside the +/-10-year band</t>
        </is>
      </c>
    </row>
    <row r="226">
      <c r="A226" s="5" t="inlineStr">
        <is>
          <t>SolVida Central</t>
        </is>
      </c>
      <c r="B226" s="5" t="inlineStr">
        <is>
          <t>4848 E Roosevelt St, Phoenix, AZ 85008-7327</t>
        </is>
      </c>
      <c r="C226" s="10" t="n">
        <v>5.83</v>
      </c>
      <c r="D226" s="7" t="n">
        <v>368</v>
      </c>
      <c r="E226" s="5" t="inlineStr">
        <is>
          <t>mf</t>
        </is>
      </c>
      <c r="F226" s="8" t="n">
        <v>2002</v>
      </c>
      <c r="G226" s="5" t="inlineStr">
        <is>
          <t>vintage 2002 is 21 years from the subject's 1981, outside the +/-10-year band</t>
        </is>
      </c>
    </row>
    <row r="227">
      <c r="A227" s="5" t="inlineStr">
        <is>
          <t>The Joshua Apartments</t>
        </is>
      </c>
      <c r="B227" s="5" t="inlineStr">
        <is>
          <t>1711 S Extension Rd, Mesa, AZ 85210-9510</t>
        </is>
      </c>
      <c r="C227" s="10" t="n">
        <v>5.83</v>
      </c>
      <c r="D227" s="7" t="n">
        <v>276</v>
      </c>
      <c r="E227" s="5" t="inlineStr">
        <is>
          <t>mf</t>
        </is>
      </c>
      <c r="F227" s="8" t="n">
        <v>1985</v>
      </c>
      <c r="G227" s="5" t="inlineStr">
        <is>
          <t>outside the service's preselection of 20: its rents are tracked but no unit group was quoted for it, so it is listed nearby</t>
        </is>
      </c>
    </row>
    <row r="228">
      <c r="A228" s="5" t="inlineStr">
        <is>
          <t>Terrasol</t>
        </is>
      </c>
      <c r="B228" s="5" t="inlineStr">
        <is>
          <t>1010 N 48th St, Phoenix, AZ 85008</t>
        </is>
      </c>
      <c r="C228" s="10" t="n">
        <v>5.85</v>
      </c>
      <c r="D228" s="7" t="n">
        <v>200</v>
      </c>
      <c r="E228" s="5" t="inlineStr">
        <is>
          <t>mf</t>
        </is>
      </c>
      <c r="F228" s="8" t="n">
        <v>1982</v>
      </c>
      <c r="G228" s="5" t="inlineStr">
        <is>
          <t>outside the service's preselection of 20: its rents are tracked but no unit group was quoted for it, so it is listed nearby</t>
        </is>
      </c>
    </row>
    <row r="229">
      <c r="A229" s="5" t="inlineStr">
        <is>
          <t>Chazal Scottsdale</t>
        </is>
      </c>
      <c r="B229" s="5" t="inlineStr">
        <is>
          <t>1075 N Miller Rd, Scottsdale, AZ 85257</t>
        </is>
      </c>
      <c r="C229" s="10" t="n">
        <v>5.88</v>
      </c>
      <c r="D229" s="7" t="n">
        <v>190</v>
      </c>
      <c r="E229" s="5" t="inlineStr">
        <is>
          <t>mf</t>
        </is>
      </c>
      <c r="F229" s="8" t="n">
        <v>1987</v>
      </c>
      <c r="G229" s="5" t="inlineStr">
        <is>
          <t>outside the service's preselection of 20: its rents are tracked but no unit group was quoted for it, so it is listed nearby</t>
        </is>
      </c>
    </row>
    <row r="230">
      <c r="A230" s="5" t="inlineStr">
        <is>
          <t>Villa Fiesta</t>
        </is>
      </c>
      <c r="B230" s="5" t="inlineStr">
        <is>
          <t>1515 S Extension Rd, Mesa, AZ 85210</t>
        </is>
      </c>
      <c r="C230" s="10" t="n">
        <v>5.9</v>
      </c>
      <c r="D230" s="7" t="n">
        <v>438</v>
      </c>
      <c r="E230" s="5" t="inlineStr">
        <is>
          <t>mf</t>
        </is>
      </c>
      <c r="F230" s="8" t="n">
        <v>1986</v>
      </c>
      <c r="G230" s="5" t="inlineStr">
        <is>
          <t>outside the service's preselection of 20: its rents are tracked but no unit group was quoted for it, so it is listed nearby</t>
        </is>
      </c>
    </row>
    <row r="231">
      <c r="A231" s="5" t="inlineStr">
        <is>
          <t>Palazzo Townhomes</t>
        </is>
      </c>
      <c r="B231" s="5" t="inlineStr">
        <is>
          <t>886 N Cofco Center Ct, Phoenix, AZ 85008-6426</t>
        </is>
      </c>
      <c r="C231" s="10" t="n">
        <v>5.95</v>
      </c>
      <c r="D231" s="7" t="n">
        <v>214</v>
      </c>
      <c r="E231" s="5" t="inlineStr">
        <is>
          <t>bfr</t>
        </is>
      </c>
      <c r="F231" s="8" t="n">
        <v>2002</v>
      </c>
      <c r="G231" s="5" t="inlineStr">
        <is>
          <t>different product: tracked as bfr, subject is MF</t>
        </is>
      </c>
    </row>
    <row r="232">
      <c r="A232" s="5" t="inlineStr">
        <is>
          <t>Escala Central City</t>
        </is>
      </c>
      <c r="B232" s="5" t="inlineStr">
        <is>
          <t>3606 E Van Buren St, Phoenix, AZ 85008</t>
        </is>
      </c>
      <c r="C232" s="10" t="n">
        <v>5.98</v>
      </c>
      <c r="D232" s="7" t="n">
        <v>178</v>
      </c>
      <c r="E232" s="5" t="inlineStr">
        <is>
          <t>mf</t>
        </is>
      </c>
      <c r="F232" s="8" t="n">
        <v>2006</v>
      </c>
      <c r="G232" s="5" t="inlineStr">
        <is>
          <t>excluded from comp sets by the tracker: income_restricted</t>
        </is>
      </c>
    </row>
    <row r="233">
      <c r="A233" s="5" t="inlineStr">
        <is>
          <t>Lakeside</t>
        </is>
      </c>
      <c r="B233" s="5" t="inlineStr">
        <is>
          <t>855 N Dobson Rd, Chandler, AZ 85224</t>
        </is>
      </c>
      <c r="C233" s="10" t="n">
        <v>6</v>
      </c>
      <c r="D233" s="7" t="n">
        <v>230</v>
      </c>
      <c r="E233" s="5" t="inlineStr">
        <is>
          <t>mf</t>
        </is>
      </c>
      <c r="F233" s="8" t="n">
        <v>1987</v>
      </c>
      <c r="G233" s="5" t="inlineStr">
        <is>
          <t>outside the service's preselection of 20: its rents are tracked but no unit group was quoted for it, so it is listed nearby</t>
        </is>
      </c>
    </row>
    <row r="234">
      <c r="A234" s="5" t="inlineStr">
        <is>
          <t>Roadrunner on McDowell</t>
        </is>
      </c>
      <c r="B234" s="5" t="inlineStr">
        <is>
          <t>6601 E McDowell Rd, Scottsdale, AZ 85257</t>
        </is>
      </c>
      <c r="C234" s="10" t="n">
        <v>6</v>
      </c>
      <c r="D234" s="7" t="n">
        <v>356</v>
      </c>
      <c r="E234" s="5" t="inlineStr">
        <is>
          <t>mf</t>
        </is>
      </c>
      <c r="F234" s="8" t="n">
        <v>2021</v>
      </c>
      <c r="G234" s="5" t="inlineStr">
        <is>
          <t>vintage 2021 is 40 years from the subject's 1981, outside the +/-10-year band</t>
        </is>
      </c>
    </row>
    <row r="235">
      <c r="A235" s="5" t="inlineStr">
        <is>
          <t>MAA SkySong</t>
        </is>
      </c>
      <c r="B235" s="5" t="inlineStr">
        <is>
          <t>1301 N Scottsdale Rd, Scottsdale, AZ 85257</t>
        </is>
      </c>
      <c r="C235" s="10" t="n">
        <v>6.03</v>
      </c>
      <c r="D235" s="7" t="n">
        <v>325</v>
      </c>
      <c r="E235" s="5" t="inlineStr">
        <is>
          <t>mf</t>
        </is>
      </c>
      <c r="F235" s="8" t="n">
        <v>2014</v>
      </c>
      <c r="G235" s="5" t="inlineStr">
        <is>
          <t>vintage 2014 is 33 years from the subject's 1981, outside the +/-10-year band</t>
        </is>
      </c>
    </row>
    <row r="236">
      <c r="A236" s="5" t="inlineStr">
        <is>
          <t>Roosevelt Plaza Apartments</t>
        </is>
      </c>
      <c r="B236" s="5" t="inlineStr">
        <is>
          <t>945 N 40th St, Phoenix, AZ 85008-6454</t>
        </is>
      </c>
      <c r="C236" s="10" t="n">
        <v>6.04</v>
      </c>
      <c r="D236" s="7" t="n">
        <v>100</v>
      </c>
      <c r="E236" s="5" t="inlineStr">
        <is>
          <t>mf</t>
        </is>
      </c>
      <c r="F236" s="8" t="n">
        <v>1980</v>
      </c>
      <c r="G236" s="5" t="inlineStr">
        <is>
          <t>excluded from comp sets by the tracker: income_restricted</t>
        </is>
      </c>
    </row>
    <row r="237">
      <c r="A237" s="5" t="inlineStr">
        <is>
          <t>San Posada</t>
        </is>
      </c>
      <c r="B237" s="5" t="inlineStr">
        <is>
          <t>2318 S Country Club Dr, Mesa, AZ 85210</t>
        </is>
      </c>
      <c r="C237" s="10" t="n">
        <v>6.07</v>
      </c>
      <c r="D237" s="7" t="n">
        <v>372</v>
      </c>
      <c r="E237" s="5" t="inlineStr">
        <is>
          <t>mf</t>
        </is>
      </c>
      <c r="F237" s="8" t="n">
        <v>2015</v>
      </c>
      <c r="G237" s="5" t="inlineStr">
        <is>
          <t>vintage 2015 is 34 years from the subject's 1981, outside the +/-10-year band</t>
        </is>
      </c>
    </row>
    <row r="238">
      <c r="A238" s="5" t="inlineStr">
        <is>
          <t>Soleil</t>
        </is>
      </c>
      <c r="B238" s="5" t="inlineStr">
        <is>
          <t>725 N Dobson Rd, Chandler, AZ 85224</t>
        </is>
      </c>
      <c r="C238" s="10" t="n">
        <v>6.07</v>
      </c>
      <c r="D238" s="7" t="n">
        <v>188</v>
      </c>
      <c r="E238" s="5" t="inlineStr">
        <is>
          <t>mf</t>
        </is>
      </c>
      <c r="F238" s="8" t="n">
        <v>1995</v>
      </c>
      <c r="G238" s="5" t="inlineStr">
        <is>
          <t>vintage 1995 is 14 years from the subject's 1981, outside the +/-10-year band</t>
        </is>
      </c>
    </row>
    <row r="239">
      <c r="A239" s="5" t="inlineStr">
        <is>
          <t>Seventyone 15 McDowell</t>
        </is>
      </c>
      <c r="B239" s="5" t="inlineStr">
        <is>
          <t>7115 E McDowell Rd, Scottsdale, AZ 85257-3315</t>
        </is>
      </c>
      <c r="C239" s="10" t="n">
        <v>6.09</v>
      </c>
      <c r="D239" s="7" t="n">
        <v>274</v>
      </c>
      <c r="E239" s="5" t="inlineStr">
        <is>
          <t>mf</t>
        </is>
      </c>
      <c r="F239" s="8" t="n">
        <v>2022</v>
      </c>
      <c r="G239" s="5" t="inlineStr">
        <is>
          <t>vintage 2022 is 41 years from the subject's 1981, outside the +/-10-year band</t>
        </is>
      </c>
    </row>
    <row r="240">
      <c r="A240" s="5" t="inlineStr">
        <is>
          <t>Las Aguas</t>
        </is>
      </c>
      <c r="B240" s="5" t="inlineStr">
        <is>
          <t>6640 E McDowell Rd, Scottsdale, AZ 85257</t>
        </is>
      </c>
      <c r="C240" s="10" t="n">
        <v>6.1</v>
      </c>
      <c r="D240" s="7" t="n">
        <v>154</v>
      </c>
      <c r="E240" s="5" t="inlineStr">
        <is>
          <t>mf</t>
        </is>
      </c>
      <c r="F240" s="8" t="n">
        <v>2016</v>
      </c>
      <c r="G240" s="5" t="inlineStr">
        <is>
          <t>vintage 2016 is 35 years from the subject's 1981, outside the +/-10-year band</t>
        </is>
      </c>
    </row>
    <row r="241">
      <c r="A241" s="5" t="inlineStr">
        <is>
          <t>Alanza Place</t>
        </is>
      </c>
      <c r="B241" s="5" t="inlineStr">
        <is>
          <t>1121 N 44th St, Phoenix, AZ 85008</t>
        </is>
      </c>
      <c r="C241" s="10" t="n">
        <v>6.11</v>
      </c>
      <c r="D241" s="7" t="n">
        <v>360</v>
      </c>
      <c r="E241" s="5" t="inlineStr">
        <is>
          <t>mf</t>
        </is>
      </c>
      <c r="F241" s="8" t="n">
        <v>2002</v>
      </c>
      <c r="G241" s="5" t="inlineStr">
        <is>
          <t>vintage 2002 is 21 years from the subject's 1981, outside the +/-10-year band</t>
        </is>
      </c>
    </row>
    <row r="242">
      <c r="A242" s="5" t="inlineStr">
        <is>
          <t>The Flats at Granite Reef</t>
        </is>
      </c>
      <c r="B242" s="5" t="inlineStr">
        <is>
          <t>980 N Granite Reef Rd, Scottsdale, AZ 85257-4545</t>
        </is>
      </c>
      <c r="C242" s="10" t="n">
        <v>6.11</v>
      </c>
      <c r="D242" s="7" t="n">
        <v>135</v>
      </c>
      <c r="E242" s="5" t="inlineStr">
        <is>
          <t>mf</t>
        </is>
      </c>
      <c r="F242" s="8" t="n">
        <v>1977</v>
      </c>
      <c r="G242" s="5" t="inlineStr">
        <is>
          <t>outside the service's preselection of 20: its rents are tracked but no unit group was quoted for it, so it is listed nearby</t>
        </is>
      </c>
    </row>
    <row r="243">
      <c r="A243" s="5" t="inlineStr">
        <is>
          <t>Aspire Mesa</t>
        </is>
      </c>
      <c r="B243" s="5" t="inlineStr">
        <is>
          <t>1248 S Vineyard, Mesa, AZ 85210</t>
        </is>
      </c>
      <c r="C243" s="10" t="n">
        <v>6.13</v>
      </c>
      <c r="D243" s="7" t="n">
        <v>97</v>
      </c>
      <c r="E243" s="5" t="inlineStr">
        <is>
          <t>mf</t>
        </is>
      </c>
      <c r="F243" s="8" t="n">
        <v>1971</v>
      </c>
      <c r="G243" s="5" t="inlineStr">
        <is>
          <t>outside the service's preselection of 20: its rents are tracked but no unit group was quoted for it, so it is listed nearby</t>
        </is>
      </c>
    </row>
    <row r="244">
      <c r="A244" s="5" t="inlineStr">
        <is>
          <t>Hangar 44</t>
        </is>
      </c>
      <c r="B244" s="5" t="inlineStr">
        <is>
          <t>1000 N 44th St, Phoenix, AZ 85008-5710</t>
        </is>
      </c>
      <c r="C244" s="10" t="n">
        <v>6.16</v>
      </c>
      <c r="D244" s="7" t="n">
        <v>452</v>
      </c>
      <c r="E244" s="5" t="inlineStr">
        <is>
          <t>mf</t>
        </is>
      </c>
      <c r="F244" s="8" t="n">
        <v>2023</v>
      </c>
      <c r="G244" s="5" t="inlineStr">
        <is>
          <t>vintage 2023 is 42 years from the subject's 1981, outside the +/-10-year band</t>
        </is>
      </c>
    </row>
    <row r="245">
      <c r="A245" s="5" t="inlineStr">
        <is>
          <t>Shorebird</t>
        </is>
      </c>
      <c r="B245" s="5" t="inlineStr">
        <is>
          <t>1362 S Vineyard, Mesa, AZ 85210-8933</t>
        </is>
      </c>
      <c r="C245" s="10" t="n">
        <v>6.16</v>
      </c>
      <c r="D245" s="7" t="n">
        <v>241</v>
      </c>
      <c r="E245" s="5" t="inlineStr">
        <is>
          <t>mf</t>
        </is>
      </c>
      <c r="F245" s="8" t="n">
        <v>1983</v>
      </c>
      <c r="G245" s="5" t="inlineStr">
        <is>
          <t>outside the service's preselection of 20: its rents are tracked but no unit group was quoted for it, so it is listed nearby</t>
        </is>
      </c>
    </row>
    <row r="246">
      <c r="A246" s="5" t="inlineStr">
        <is>
          <t>Kachina</t>
        </is>
      </c>
      <c r="B246" s="5" t="inlineStr">
        <is>
          <t>1400 N Alma School Rd, Chandler, AZ 85224-2929</t>
        </is>
      </c>
      <c r="C246" s="10" t="n">
        <v>6.17</v>
      </c>
      <c r="D246" s="7" t="n">
        <v>152</v>
      </c>
      <c r="E246" s="5" t="inlineStr">
        <is>
          <t>mf</t>
        </is>
      </c>
      <c r="F246" s="8" t="n">
        <v>1986</v>
      </c>
      <c r="G246" s="5" t="inlineStr">
        <is>
          <t>outside the service's preselection of 20: its rents are tracked but no unit group was quoted for it, so it is listed nearby</t>
        </is>
      </c>
    </row>
    <row r="247">
      <c r="A247" s="5" t="inlineStr">
        <is>
          <t>Santa Rosa Apartments</t>
        </is>
      </c>
      <c r="B247" s="5" t="inlineStr">
        <is>
          <t>3425 E Chandler Blvd, Phoenix, AZ 85048</t>
        </is>
      </c>
      <c r="C247" s="10" t="n">
        <v>6.17</v>
      </c>
      <c r="D247" s="7" t="n">
        <v>112</v>
      </c>
      <c r="E247" s="5" t="inlineStr">
        <is>
          <t>mf</t>
        </is>
      </c>
      <c r="F247" s="8" t="n">
        <v>1997</v>
      </c>
      <c r="G247" s="5" t="inlineStr">
        <is>
          <t>vintage 1997 is 16 years from the subject's 1981, outside the +/-10-year band</t>
        </is>
      </c>
    </row>
    <row r="248">
      <c r="A248" s="5" t="inlineStr">
        <is>
          <t>Scottsdale Haciendas</t>
        </is>
      </c>
      <c r="B248" s="5" t="inlineStr">
        <is>
          <t>985 N Granite Reef Rd, Scottsdale, AZ 85257</t>
        </is>
      </c>
      <c r="C248" s="10" t="n">
        <v>6.17</v>
      </c>
      <c r="D248" s="7" t="n">
        <v>179</v>
      </c>
      <c r="E248" s="5" t="inlineStr">
        <is>
          <t>mf</t>
        </is>
      </c>
      <c r="F248" s="8" t="n">
        <v>1985</v>
      </c>
      <c r="G248" s="5" t="inlineStr">
        <is>
          <t>outside the service's preselection of 20: its rents are tracked but no unit group was quoted for it, so it is listed nearby</t>
        </is>
      </c>
    </row>
    <row r="249">
      <c r="A249" s="5" t="inlineStr">
        <is>
          <t>Exchange on the 8</t>
        </is>
      </c>
      <c r="B249" s="5" t="inlineStr">
        <is>
          <t>604 W 8th Ave, Mesa, AZ 85210</t>
        </is>
      </c>
      <c r="C249" s="10" t="n">
        <v>6.2</v>
      </c>
      <c r="D249" s="7" t="n">
        <v>140</v>
      </c>
      <c r="E249" s="5" t="inlineStr">
        <is>
          <t>mf</t>
        </is>
      </c>
      <c r="F249" s="8" t="n">
        <v>1999</v>
      </c>
      <c r="G249" s="5" t="inlineStr">
        <is>
          <t>vintage 1999 is 18 years from the subject's 1981, outside the +/-10-year band</t>
        </is>
      </c>
    </row>
    <row r="250">
      <c r="A250" s="5" t="inlineStr">
        <is>
          <t>Scottsdale Entrada</t>
        </is>
      </c>
      <c r="B250" s="5" t="inlineStr">
        <is>
          <t>6460 E McDowell Rd, Scottsdale, AZ 85257-3186</t>
        </is>
      </c>
      <c r="C250" s="10" t="n">
        <v>6.2</v>
      </c>
      <c r="D250" s="7" t="n">
        <v>735</v>
      </c>
      <c r="E250" s="5" t="inlineStr">
        <is>
          <t>mf</t>
        </is>
      </c>
      <c r="F250" s="8" t="n">
        <v>2022</v>
      </c>
      <c r="G250" s="5" t="inlineStr">
        <is>
          <t>vintage 2022 is 41 years from the subject's 1981, outside the +/-10-year band</t>
        </is>
      </c>
    </row>
    <row r="251">
      <c r="A251" s="5" t="inlineStr">
        <is>
          <t>San Travesia</t>
        </is>
      </c>
      <c r="B251" s="5" t="inlineStr">
        <is>
          <t>7501 E McDowell Rd, Scottsdale, AZ 85257</t>
        </is>
      </c>
      <c r="C251" s="10" t="n">
        <v>6.21</v>
      </c>
      <c r="D251" s="7" t="n">
        <v>572</v>
      </c>
      <c r="E251" s="5" t="inlineStr">
        <is>
          <t>mf</t>
        </is>
      </c>
      <c r="F251" s="8" t="n">
        <v>2014</v>
      </c>
      <c r="G251" s="5" t="inlineStr">
        <is>
          <t>vintage 2014 is 33 years from the subject's 1981, outside the +/-10-year band</t>
        </is>
      </c>
    </row>
    <row r="252">
      <c r="A252" s="5" t="inlineStr">
        <is>
          <t>Metro on Main</t>
        </is>
      </c>
      <c r="B252" s="5" t="inlineStr">
        <is>
          <t>944 W Main St, Mesa, AZ 85201-7134</t>
        </is>
      </c>
      <c r="C252" s="10" t="n">
        <v>6.27</v>
      </c>
      <c r="D252" s="7" t="n">
        <v>336</v>
      </c>
      <c r="E252" s="5" t="inlineStr">
        <is>
          <t>mf</t>
        </is>
      </c>
      <c r="F252" s="8" t="n">
        <v>1982</v>
      </c>
      <c r="G252" s="5" t="inlineStr">
        <is>
          <t>outside the service's preselection of 20: its rents are tracked but no unit group was quoted for it, so it is listed nearby</t>
        </is>
      </c>
    </row>
    <row r="253">
      <c r="A253" s="5" t="inlineStr">
        <is>
          <t>Village at Lakewood</t>
        </is>
      </c>
      <c r="B253" s="5" t="inlineStr">
        <is>
          <t>15815 S Lakewood Pky W, Phoenix, AZ 85048</t>
        </is>
      </c>
      <c r="C253" s="10" t="n">
        <v>6.27</v>
      </c>
      <c r="D253" s="7" t="n">
        <v>240</v>
      </c>
      <c r="E253" s="5" t="inlineStr">
        <is>
          <t>mf</t>
        </is>
      </c>
      <c r="F253" s="8" t="n">
        <v>1988</v>
      </c>
      <c r="G253" s="5" t="inlineStr">
        <is>
          <t>outside the service's preselection of 20: its rents are tracked but no unit group was quoted for it, so it is listed nearby</t>
        </is>
      </c>
    </row>
    <row r="254">
      <c r="A254" s="5" t="inlineStr">
        <is>
          <t>Alta 87</t>
        </is>
      </c>
      <c r="B254" s="5" t="inlineStr">
        <is>
          <t>1225 N Arizona Ave, Gilbert, AZ 85233-1617</t>
        </is>
      </c>
      <c r="C254" s="10" t="n">
        <v>6.29</v>
      </c>
      <c r="D254" s="7" t="n">
        <v>259</v>
      </c>
      <c r="E254" s="5" t="inlineStr">
        <is>
          <t>mf</t>
        </is>
      </c>
      <c r="F254" s="8" t="n">
        <v>2025</v>
      </c>
      <c r="G254" s="5" t="inlineStr">
        <is>
          <t>vintage 2025 is 44 years from the subject's 1981, outside the +/-10-year band</t>
        </is>
      </c>
    </row>
    <row r="255">
      <c r="A255" s="5" t="inlineStr">
        <is>
          <t>Sahara/Playa Palms Apartments</t>
        </is>
      </c>
      <c r="B255" s="5" t="inlineStr">
        <is>
          <t>2300 W San Angelo St, Gilbert, AZ 85233-2219</t>
        </is>
      </c>
      <c r="C255" s="10" t="n">
        <v>6.29</v>
      </c>
      <c r="D255" s="7" t="n">
        <v>840</v>
      </c>
      <c r="E255" s="5" t="inlineStr">
        <is>
          <t>mf</t>
        </is>
      </c>
      <c r="F255" s="8" t="n">
        <v>1985</v>
      </c>
      <c r="G255" s="5" t="inlineStr">
        <is>
          <t>outside the service's preselection of 20: its rents are tracked but no unit group was quoted for it, so it is listed nearby</t>
        </is>
      </c>
    </row>
    <row r="256">
      <c r="A256" s="5" t="inlineStr">
        <is>
          <t>The Julia</t>
        </is>
      </c>
      <c r="B256" s="5" t="inlineStr">
        <is>
          <t>546 S Country Club Dr, Mesa, AZ 85210-2356</t>
        </is>
      </c>
      <c r="C256" s="10" t="n">
        <v>6.37</v>
      </c>
      <c r="D256" s="7" t="n">
        <v>320</v>
      </c>
      <c r="E256" s="5" t="inlineStr">
        <is>
          <t>mf</t>
        </is>
      </c>
      <c r="F256" s="8" t="n">
        <v>1986</v>
      </c>
      <c r="G256" s="5" t="inlineStr">
        <is>
          <t>outside the service's preselection of 20: its rents are tracked but no unit group was quoted for it, so it is listed nearby</t>
        </is>
      </c>
    </row>
    <row r="257">
      <c r="A257" s="5" t="inlineStr">
        <is>
          <t>Fountain Oaks</t>
        </is>
      </c>
      <c r="B257" s="5" t="inlineStr">
        <is>
          <t>1225 N 40th St, Phoenix, AZ 85008</t>
        </is>
      </c>
      <c r="C257" s="10" t="n">
        <v>6.41</v>
      </c>
      <c r="D257" s="7" t="n">
        <v>224</v>
      </c>
      <c r="E257" s="5" t="inlineStr">
        <is>
          <t>mf</t>
        </is>
      </c>
      <c r="F257" s="8" t="n">
        <v>1983</v>
      </c>
      <c r="G257" s="5" t="inlineStr">
        <is>
          <t>outside the service's preselection of 20: its rents are tracked but no unit group was quoted for it, so it is listed nearby</t>
        </is>
      </c>
    </row>
    <row r="258">
      <c r="A258" s="5" t="inlineStr">
        <is>
          <t>Papago Crossing Apartments</t>
        </is>
      </c>
      <c r="B258" s="5" t="inlineStr">
        <is>
          <t>4530 E McDowell Rd, Phoenix, AZ 85008</t>
        </is>
      </c>
      <c r="C258" s="10" t="n">
        <v>6.42</v>
      </c>
      <c r="D258" s="7" t="n">
        <v>181</v>
      </c>
      <c r="E258" s="5" t="inlineStr">
        <is>
          <t>mf</t>
        </is>
      </c>
      <c r="F258" s="8" t="n">
        <v>1980</v>
      </c>
      <c r="G258" s="5" t="inlineStr">
        <is>
          <t>outside the service's preselection of 20: its rents are tracked but no unit group was quoted for it, so it is listed nearby</t>
        </is>
      </c>
    </row>
    <row r="259">
      <c r="A259" s="5" t="inlineStr">
        <is>
          <t>Residences at FortyTwo25</t>
        </is>
      </c>
      <c r="B259" s="5" t="inlineStr">
        <is>
          <t>4225 E McDowell Rd, Phoenix, AZ 85008</t>
        </is>
      </c>
      <c r="C259" s="10" t="n">
        <v>6.47</v>
      </c>
      <c r="D259" s="7" t="n">
        <v>357</v>
      </c>
      <c r="E259" s="5" t="inlineStr">
        <is>
          <t>mf</t>
        </is>
      </c>
      <c r="F259" s="8" t="n">
        <v>2009</v>
      </c>
      <c r="G259" s="5" t="inlineStr">
        <is>
          <t>vintage 2009 is 28 years from the subject's 1981, outside the +/-10-year band</t>
        </is>
      </c>
    </row>
    <row r="260">
      <c r="A260" s="5" t="inlineStr">
        <is>
          <t>Avant at Fashion Center</t>
        </is>
      </c>
      <c r="B260" s="5" t="inlineStr">
        <is>
          <t>555 S Galleria Way, Chandler, AZ 85226</t>
        </is>
      </c>
      <c r="C260" s="10" t="n">
        <v>6.5</v>
      </c>
      <c r="D260" s="7" t="n">
        <v>335</v>
      </c>
      <c r="E260" s="5" t="inlineStr">
        <is>
          <t>mf</t>
        </is>
      </c>
      <c r="F260" s="8" t="n">
        <v>2017</v>
      </c>
      <c r="G260" s="5" t="inlineStr">
        <is>
          <t>vintage 2017 is 36 years from the subject's 1981, outside the +/-10-year band</t>
        </is>
      </c>
    </row>
    <row r="261">
      <c r="A261" s="5" t="inlineStr">
        <is>
          <t>Desert Jewel Apartments</t>
        </is>
      </c>
      <c r="B261" s="5" t="inlineStr">
        <is>
          <t>2800 N Arizona Ave, Chandler, AZ 85225</t>
        </is>
      </c>
      <c r="C261" s="10" t="n">
        <v>6.5</v>
      </c>
      <c r="D261" s="7" t="n">
        <v>184</v>
      </c>
      <c r="E261" s="5" t="inlineStr">
        <is>
          <t>mf</t>
        </is>
      </c>
      <c r="F261" s="8" t="n">
        <v>2003</v>
      </c>
      <c r="G261" s="5" t="inlineStr">
        <is>
          <t>vintage 2003 is 22 years from the subject's 1981, outside the +/-10-year band</t>
        </is>
      </c>
    </row>
    <row r="262">
      <c r="A262" s="5" t="inlineStr">
        <is>
          <t>Garrett Uptown</t>
        </is>
      </c>
      <c r="B262" s="5" t="inlineStr">
        <is>
          <t>3033 N Arizona Ave, Chandler, AZ 85225</t>
        </is>
      </c>
      <c r="C262" s="10" t="n">
        <v>6.52</v>
      </c>
      <c r="D262" s="7" t="n">
        <v>252</v>
      </c>
      <c r="E262" s="5" t="inlineStr">
        <is>
          <t>mf</t>
        </is>
      </c>
      <c r="F262" s="8" t="n">
        <v>2026</v>
      </c>
      <c r="G262" s="5" t="inlineStr">
        <is>
          <t>vintage 2026 is 45 years from the subject's 1981, outside the +/-10-year band</t>
        </is>
      </c>
    </row>
    <row r="263">
      <c r="A263" s="5" t="inlineStr">
        <is>
          <t>Stone View on 7th</t>
        </is>
      </c>
      <c r="B263" s="5" t="inlineStr">
        <is>
          <t>734-828 E Apollo Rd, Phoenix, AZ 85042-4340</t>
        </is>
      </c>
      <c r="C263" s="10" t="n">
        <v>6.52</v>
      </c>
      <c r="D263" s="7" t="n">
        <v>65</v>
      </c>
      <c r="E263" s="5" t="inlineStr">
        <is>
          <t>bfr</t>
        </is>
      </c>
      <c r="F263" s="12" t="n"/>
      <c r="G263" s="5" t="inlineStr">
        <is>
          <t>different product: tracked as bfr, subject is MF</t>
        </is>
      </c>
    </row>
    <row r="264">
      <c r="A264" s="5" t="inlineStr">
        <is>
          <t>Aztec Villa Apartments</t>
        </is>
      </c>
      <c r="B264" s="5" t="inlineStr">
        <is>
          <t>4001 E McDowell Rd, Phoenix, AZ 85008</t>
        </is>
      </c>
      <c r="C264" s="10" t="n">
        <v>6.54</v>
      </c>
      <c r="D264" s="7" t="n">
        <v>126</v>
      </c>
      <c r="E264" s="5" t="inlineStr">
        <is>
          <t>mf</t>
        </is>
      </c>
      <c r="F264" s="8" t="n">
        <v>1975</v>
      </c>
      <c r="G264" s="5" t="inlineStr">
        <is>
          <t>outside the service's preselection of 20: its rents are tracked but no unit group was quoted for it, so it is listed nearby</t>
        </is>
      </c>
    </row>
    <row r="265">
      <c r="A265" s="5" t="inlineStr">
        <is>
          <t>Formation</t>
        </is>
      </c>
      <c r="B265" s="5" t="inlineStr">
        <is>
          <t>2040-2060 N Scottsdale Rd, Scottsdale, AZ 85257</t>
        </is>
      </c>
      <c r="C265" s="10" t="n">
        <v>6.54</v>
      </c>
      <c r="D265" s="7" t="n">
        <v>170</v>
      </c>
      <c r="E265" s="5" t="inlineStr">
        <is>
          <t>mf</t>
        </is>
      </c>
      <c r="F265" s="8" t="n">
        <v>2022</v>
      </c>
      <c r="G265" s="5" t="inlineStr">
        <is>
          <t>vintage 2022 is 41 years from the subject's 1981, outside the +/-10-year band</t>
        </is>
      </c>
    </row>
    <row r="266">
      <c r="A266" s="5" t="inlineStr">
        <is>
          <t>San Cierra</t>
        </is>
      </c>
      <c r="B266" s="5" t="inlineStr">
        <is>
          <t>2400 N Arizona Ave, Chandler, AZ 85225-1205</t>
        </is>
      </c>
      <c r="C266" s="10" t="n">
        <v>6.56</v>
      </c>
      <c r="D266" s="7" t="n">
        <v>332</v>
      </c>
      <c r="E266" s="5" t="inlineStr">
        <is>
          <t>mf</t>
        </is>
      </c>
      <c r="F266" s="8" t="n">
        <v>2004</v>
      </c>
      <c r="G266" s="5" t="inlineStr">
        <is>
          <t>vintage 2004 is 23 years from the subject's 1981, outside the +/-10-year band</t>
        </is>
      </c>
    </row>
    <row r="267">
      <c r="A267" s="5" t="inlineStr">
        <is>
          <t>Bella Grace</t>
        </is>
      </c>
      <c r="B267" s="5" t="inlineStr">
        <is>
          <t>2121 N Grace Blvd, Chandler, AZ 85225</t>
        </is>
      </c>
      <c r="C267" s="10" t="n">
        <v>6.6</v>
      </c>
      <c r="D267" s="7" t="n">
        <v>194</v>
      </c>
      <c r="E267" s="5" t="inlineStr">
        <is>
          <t>bfr</t>
        </is>
      </c>
      <c r="F267" s="8" t="n">
        <v>2015</v>
      </c>
      <c r="G267" s="5" t="inlineStr">
        <is>
          <t>different product: tracked as bfr, subject is MF</t>
        </is>
      </c>
    </row>
    <row r="268">
      <c r="A268" s="5" t="inlineStr">
        <is>
          <t>Corsica Villas at Euclid Avenue</t>
        </is>
      </c>
      <c r="B268" s="5" t="inlineStr">
        <is>
          <t>825 E Euclid Ave, Phoenix, AZ 85042</t>
        </is>
      </c>
      <c r="C268" s="10" t="n">
        <v>6.65</v>
      </c>
      <c r="D268" s="7" t="n">
        <v>84</v>
      </c>
      <c r="E268" s="5" t="inlineStr">
        <is>
          <t>bfr</t>
        </is>
      </c>
      <c r="F268" s="12" t="n"/>
      <c r="G268" s="5" t="inlineStr">
        <is>
          <t>different product: tracked as bfr, subject is MF</t>
        </is>
      </c>
    </row>
    <row r="269">
      <c r="A269" s="5" t="inlineStr">
        <is>
          <t>Oxford Apartments</t>
        </is>
      </c>
      <c r="B269" s="5" t="inlineStr">
        <is>
          <t>3777 E McDowell Rd, Phoenix, AZ 85008</t>
        </is>
      </c>
      <c r="C269" s="10" t="n">
        <v>6.7</v>
      </c>
      <c r="D269" s="7" t="n">
        <v>432</v>
      </c>
      <c r="E269" s="5" t="inlineStr">
        <is>
          <t>mf</t>
        </is>
      </c>
      <c r="F269" s="8" t="n">
        <v>2000</v>
      </c>
      <c r="G269" s="5" t="inlineStr">
        <is>
          <t>vintage 2000 is 19 years from the subject's 1981, outside the +/-10-year band</t>
        </is>
      </c>
    </row>
    <row r="270">
      <c r="A270" s="5" t="inlineStr">
        <is>
          <t>Merino at Scottsdale</t>
        </is>
      </c>
      <c r="B270" s="5" t="inlineStr">
        <is>
          <t>8550 E McDowell Rd, Scottsdale, AZ 85257-3946</t>
        </is>
      </c>
      <c r="C270" s="10" t="n">
        <v>6.73</v>
      </c>
      <c r="D270" s="7" t="n">
        <v>160</v>
      </c>
      <c r="E270" s="5" t="inlineStr">
        <is>
          <t>mf</t>
        </is>
      </c>
      <c r="F270" s="8" t="n">
        <v>1985</v>
      </c>
      <c r="G270" s="5" t="inlineStr">
        <is>
          <t>outside the service's preselection of 20: its rents are tracked but no unit group was quoted for it, so it is listed nearby</t>
        </is>
      </c>
    </row>
    <row r="271">
      <c r="A271" s="5" t="inlineStr">
        <is>
          <t>Marquis at Chandler</t>
        </is>
      </c>
      <c r="B271" s="5" t="inlineStr">
        <is>
          <t>2222 W Frye Rd, Chandler, AZ 85224</t>
        </is>
      </c>
      <c r="C271" s="10" t="n">
        <v>6.75</v>
      </c>
      <c r="D271" s="7" t="n">
        <v>340</v>
      </c>
      <c r="E271" s="5" t="inlineStr">
        <is>
          <t>mf</t>
        </is>
      </c>
      <c r="F271" s="8" t="n">
        <v>2020</v>
      </c>
      <c r="G271" s="5" t="inlineStr">
        <is>
          <t>vintage 2020 is 39 years from the subject's 1981, outside the +/-10-year band</t>
        </is>
      </c>
    </row>
    <row r="272">
      <c r="A272" s="5" t="inlineStr">
        <is>
          <t>Sunrise in Chandler</t>
        </is>
      </c>
      <c r="B272" s="5" t="inlineStr">
        <is>
          <t>1750 W Boston St, Chandler, AZ 85224</t>
        </is>
      </c>
      <c r="C272" s="10" t="n">
        <v>6.76</v>
      </c>
      <c r="D272" s="7" t="n">
        <v>177</v>
      </c>
      <c r="E272" s="5" t="inlineStr">
        <is>
          <t>mf</t>
        </is>
      </c>
      <c r="F272" s="8" t="n">
        <v>1985</v>
      </c>
      <c r="G272" s="5" t="inlineStr">
        <is>
          <t>outside the service's preselection of 20: its rents are tracked but no unit group was quoted for it, so it is listed nearby</t>
        </is>
      </c>
    </row>
    <row r="273">
      <c r="A273" s="5" t="inlineStr">
        <is>
          <t>The Residences on Main</t>
        </is>
      </c>
      <c r="B273" s="5" t="inlineStr">
        <is>
          <t>424 W Main St, Mesa, AZ 85201</t>
        </is>
      </c>
      <c r="C273" s="10" t="n">
        <v>6.76</v>
      </c>
      <c r="D273" s="7" t="n">
        <v>198</v>
      </c>
      <c r="E273" s="5" t="inlineStr">
        <is>
          <t>mf</t>
        </is>
      </c>
      <c r="F273" s="8" t="n">
        <v>2026</v>
      </c>
      <c r="G273" s="5" t="inlineStr">
        <is>
          <t>vintage 2026 is 45 years from the subject's 1981, outside the +/-10-year band</t>
        </is>
      </c>
    </row>
    <row r="274">
      <c r="A274" s="5" t="inlineStr">
        <is>
          <t>The Urban</t>
        </is>
      </c>
      <c r="B274" s="5" t="inlineStr">
        <is>
          <t>3601 E McDowell Rd, Phoenix, AZ 85008</t>
        </is>
      </c>
      <c r="C274" s="10" t="n">
        <v>6.78</v>
      </c>
      <c r="D274" s="7" t="n">
        <v>435</v>
      </c>
      <c r="E274" s="5" t="inlineStr">
        <is>
          <t>mf</t>
        </is>
      </c>
      <c r="F274" s="8" t="n">
        <v>2004</v>
      </c>
      <c r="G274" s="5" t="inlineStr">
        <is>
          <t>vintage 2004 is 23 years from the subject's 1981, outside the +/-10-year band</t>
        </is>
      </c>
    </row>
    <row r="275">
      <c r="A275" s="5" t="inlineStr">
        <is>
          <t>Trevi</t>
        </is>
      </c>
      <c r="B275" s="5" t="inlineStr">
        <is>
          <t>635 S Ellis St, Chandler, AZ 85224-4953</t>
        </is>
      </c>
      <c r="C275" s="10" t="n">
        <v>6.81</v>
      </c>
      <c r="D275" s="7" t="n">
        <v>290</v>
      </c>
      <c r="E275" s="5" t="inlineStr">
        <is>
          <t>mf</t>
        </is>
      </c>
      <c r="F275" s="8" t="n">
        <v>2005</v>
      </c>
      <c r="G275" s="5" t="inlineStr">
        <is>
          <t>vintage 2005 is 24 years from the subject's 1981, outside the +/-10-year band</t>
        </is>
      </c>
    </row>
    <row r="276">
      <c r="A276" s="5" t="inlineStr">
        <is>
          <t>Alta Uptown</t>
        </is>
      </c>
      <c r="B276" s="5" t="inlineStr">
        <is>
          <t>123 E Corporate Pl, Chandler, AZ 85225-1002</t>
        </is>
      </c>
      <c r="C276" s="10" t="n">
        <v>6.82</v>
      </c>
      <c r="D276" s="7" t="n">
        <v>415</v>
      </c>
      <c r="E276" s="5" t="inlineStr">
        <is>
          <t>mf</t>
        </is>
      </c>
      <c r="F276" s="8" t="n">
        <v>2024</v>
      </c>
      <c r="G276" s="5" t="inlineStr">
        <is>
          <t>vintage 2024 is 43 years from the subject's 1981, outside the +/-10-year band</t>
        </is>
      </c>
    </row>
    <row r="277">
      <c r="A277" s="5" t="inlineStr">
        <is>
          <t>Arcadia Cove Apartments</t>
        </is>
      </c>
      <c r="B277" s="5" t="inlineStr">
        <is>
          <t>2252 N 44th St, Phoenix, AZ 85008</t>
        </is>
      </c>
      <c r="C277" s="10" t="n">
        <v>6.84</v>
      </c>
      <c r="D277" s="7" t="n">
        <v>432</v>
      </c>
      <c r="E277" s="5" t="inlineStr">
        <is>
          <t>mf</t>
        </is>
      </c>
      <c r="F277" s="8" t="n">
        <v>1996</v>
      </c>
      <c r="G277" s="5" t="inlineStr">
        <is>
          <t>vintage 1996 is 15 years from the subject's 1981, outside the +/-10-year band</t>
        </is>
      </c>
    </row>
    <row r="278">
      <c r="A278" s="5" t="inlineStr">
        <is>
          <t>Victory Place I-IV</t>
        </is>
      </c>
      <c r="B278" s="5" t="inlineStr">
        <is>
          <t>850 E Jones Ave, Phoenix, AZ 85040-1245</t>
        </is>
      </c>
      <c r="C278" s="10" t="n">
        <v>6.84</v>
      </c>
      <c r="D278" s="7" t="n">
        <v>203</v>
      </c>
      <c r="E278" s="5" t="inlineStr">
        <is>
          <t>mf</t>
        </is>
      </c>
      <c r="F278" s="8" t="n">
        <v>2016</v>
      </c>
      <c r="G278" s="5" t="inlineStr">
        <is>
          <t>excluded from comp sets by the tracker: income_restricted</t>
        </is>
      </c>
    </row>
    <row r="279">
      <c r="A279" s="5" t="inlineStr">
        <is>
          <t>Riviera Park Apartments</t>
        </is>
      </c>
      <c r="B279" s="5" t="inlineStr">
        <is>
          <t>125 S Dobson Rd, Chandler, AZ 85224</t>
        </is>
      </c>
      <c r="C279" s="10" t="n">
        <v>6.86</v>
      </c>
      <c r="D279" s="7" t="n">
        <v>201</v>
      </c>
      <c r="E279" s="5" t="inlineStr">
        <is>
          <t>mf</t>
        </is>
      </c>
      <c r="F279" s="8" t="n">
        <v>1982</v>
      </c>
      <c r="G279" s="5" t="inlineStr">
        <is>
          <t>outside the service's preselection of 20: its rents are tracked but no unit group was quoted for it, so it is listed nearby</t>
        </is>
      </c>
    </row>
    <row r="280">
      <c r="A280" s="5" t="inlineStr">
        <is>
          <t>Mezona on Main</t>
        </is>
      </c>
      <c r="B280" s="5" t="inlineStr">
        <is>
          <t>250 W Main St, Mesa, AZ 85201-7312</t>
        </is>
      </c>
      <c r="C280" s="10" t="n">
        <v>6.88</v>
      </c>
      <c r="D280" s="7" t="n">
        <v>128</v>
      </c>
      <c r="E280" s="5" t="inlineStr">
        <is>
          <t>mf</t>
        </is>
      </c>
      <c r="F280" s="8" t="n">
        <v>1973</v>
      </c>
      <c r="G280" s="5" t="inlineStr">
        <is>
          <t>outside the service's preselection of 20: its rents are tracked but no unit group was quoted for it, so it is listed nearby</t>
        </is>
      </c>
    </row>
    <row r="281">
      <c r="A281" s="5" t="inlineStr">
        <is>
          <t>Symphony</t>
        </is>
      </c>
      <c r="B281" s="5" t="inlineStr">
        <is>
          <t>2225 W Frye Rd, Chandler, AZ 85224-6477</t>
        </is>
      </c>
      <c r="C281" s="10" t="n">
        <v>6.89</v>
      </c>
      <c r="D281" s="7" t="n">
        <v>234</v>
      </c>
      <c r="E281" s="5" t="inlineStr">
        <is>
          <t>mf</t>
        </is>
      </c>
      <c r="F281" s="8" t="n">
        <v>1999</v>
      </c>
      <c r="G281" s="5" t="inlineStr">
        <is>
          <t>vintage 1999 is 18 years from the subject's 1981, outside the +/-10-year band</t>
        </is>
      </c>
    </row>
    <row r="282">
      <c r="A282" s="5" t="inlineStr">
        <is>
          <t>San Hacienda Apartments</t>
        </is>
      </c>
      <c r="B282" s="5" t="inlineStr">
        <is>
          <t>1600 N Arizona Ave, Chandler, AZ 85225-7002</t>
        </is>
      </c>
      <c r="C282" s="10" t="n">
        <v>6.92</v>
      </c>
      <c r="D282" s="7" t="n">
        <v>280</v>
      </c>
      <c r="E282" s="5" t="inlineStr">
        <is>
          <t>mf</t>
        </is>
      </c>
      <c r="F282" s="8" t="n">
        <v>2007</v>
      </c>
      <c r="G282" s="5" t="inlineStr">
        <is>
          <t>vintage 2007 is 26 years from the subject's 1981, outside the +/-10-year band</t>
        </is>
      </c>
    </row>
    <row r="283">
      <c r="A283" s="5" t="inlineStr">
        <is>
          <t>Arches at Hidden Creek</t>
        </is>
      </c>
      <c r="B283" s="5" t="inlineStr">
        <is>
          <t>1586 W Maggio Way, Chandler, AZ 85224</t>
        </is>
      </c>
      <c r="C283" s="10" t="n">
        <v>6.94</v>
      </c>
      <c r="D283" s="7" t="n">
        <v>432</v>
      </c>
      <c r="E283" s="5" t="inlineStr">
        <is>
          <t>mf</t>
        </is>
      </c>
      <c r="F283" s="8" t="n">
        <v>1985</v>
      </c>
      <c r="G283" s="5" t="inlineStr">
        <is>
          <t>outside the service's preselection of 20: its rents are tracked but no unit group was quoted for it, so it is listed nearby</t>
        </is>
      </c>
    </row>
    <row r="284">
      <c r="A284" s="5" t="inlineStr">
        <is>
          <t>Pennytree Apartments</t>
        </is>
      </c>
      <c r="B284" s="5" t="inlineStr">
        <is>
          <t>232 S MacDonald, Mesa, AZ 85210-1516</t>
        </is>
      </c>
      <c r="C284" s="10" t="n">
        <v>6.94</v>
      </c>
      <c r="D284" s="7" t="n">
        <v>146</v>
      </c>
      <c r="E284" s="5" t="inlineStr">
        <is>
          <t>mf</t>
        </is>
      </c>
      <c r="F284" s="8" t="n">
        <v>1971</v>
      </c>
      <c r="G284" s="5" t="inlineStr">
        <is>
          <t>outside the service's preselection of 20: its rents are tracked but no unit group was quoted for it, so it is listed nearby</t>
        </is>
      </c>
    </row>
    <row r="285">
      <c r="A285" s="5" t="inlineStr">
        <is>
          <t>2nd Ave Commons</t>
        </is>
      </c>
      <c r="B285" s="5" t="inlineStr">
        <is>
          <t>140 W 2nd Ave, Mesa, AZ 85210</t>
        </is>
      </c>
      <c r="C285" s="10" t="n">
        <v>6.95</v>
      </c>
      <c r="D285" s="7" t="n">
        <v>144</v>
      </c>
      <c r="E285" s="5" t="inlineStr">
        <is>
          <t>mf</t>
        </is>
      </c>
      <c r="F285" s="8" t="n">
        <v>2023</v>
      </c>
      <c r="G285" s="5" t="inlineStr">
        <is>
          <t>vintage 2023 is 42 years from the subject's 1981, outside the +/-10-year band</t>
        </is>
      </c>
    </row>
    <row r="286">
      <c r="A286" s="5" t="inlineStr">
        <is>
          <t>Forge Tower</t>
        </is>
      </c>
      <c r="B286" s="5" t="inlineStr">
        <is>
          <t>22 N Robson, Mesa, AZ 85201</t>
        </is>
      </c>
      <c r="C286" s="10" t="n">
        <v>6.95</v>
      </c>
      <c r="D286" s="7" t="n">
        <v>188</v>
      </c>
      <c r="E286" s="5" t="inlineStr">
        <is>
          <t>mf</t>
        </is>
      </c>
      <c r="F286" s="8" t="n">
        <v>2025</v>
      </c>
      <c r="G286" s="5" t="inlineStr">
        <is>
          <t>vintage 2025 is 44 years from the subject's 1981, outside the +/-10-year band</t>
        </is>
      </c>
    </row>
    <row r="287">
      <c r="A287" s="5" t="inlineStr">
        <is>
          <t>Portola at Papago</t>
        </is>
      </c>
      <c r="B287" s="5" t="inlineStr">
        <is>
          <t>3434 E McDowell Rd, Phoenix, AZ 85008</t>
        </is>
      </c>
      <c r="C287" s="10" t="n">
        <v>6.97</v>
      </c>
      <c r="D287" s="7" t="n">
        <v>128</v>
      </c>
      <c r="E287" s="5" t="inlineStr">
        <is>
          <t>mf</t>
        </is>
      </c>
      <c r="F287" s="8" t="n">
        <v>1985</v>
      </c>
      <c r="G287" s="5" t="inlineStr">
        <is>
          <t>outside the service's preselection of 20: its rents are tracked but no unit group was quoted for it, so it is listed nearby</t>
        </is>
      </c>
    </row>
    <row r="288">
      <c r="A288" s="5" t="inlineStr">
        <is>
          <t>The Sycamore at Scottsdale</t>
        </is>
      </c>
      <c r="B288" s="5" t="inlineStr">
        <is>
          <t>6599 E Thomas Rd, Scottsdale, AZ 85251</t>
        </is>
      </c>
      <c r="C288" s="10" t="n">
        <v>6.98</v>
      </c>
      <c r="D288" s="7" t="n">
        <v>370</v>
      </c>
      <c r="E288" s="5" t="inlineStr">
        <is>
          <t>mf</t>
        </is>
      </c>
      <c r="F288" s="8" t="n">
        <v>1984</v>
      </c>
      <c r="G288" s="5" t="inlineStr">
        <is>
          <t>outside the service's preselection of 20: its rents are tracked but no unit group was quoted for it, so it is listed nearby</t>
        </is>
      </c>
    </row>
    <row r="289">
      <c r="A289" s="5" t="inlineStr">
        <is>
          <t>Olympus Chandler at the Park</t>
        </is>
      </c>
      <c r="B289" s="5" t="inlineStr">
        <is>
          <t>1333 N Parklane Blvd, Chandler, AZ 85224-0102</t>
        </is>
      </c>
      <c r="C289" s="10" t="n">
        <v>7.02</v>
      </c>
      <c r="D289" s="7" t="n">
        <v>291</v>
      </c>
      <c r="E289" s="5" t="inlineStr">
        <is>
          <t>mf</t>
        </is>
      </c>
      <c r="F289" s="8" t="n">
        <v>2023</v>
      </c>
      <c r="G289" s="5" t="inlineStr">
        <is>
          <t>vintage 2023 is 42 years from the subject's 1981, outside the +/-10-year band</t>
        </is>
      </c>
    </row>
    <row r="290">
      <c r="A290" s="5" t="inlineStr">
        <is>
          <t>Eco Mesa</t>
        </is>
      </c>
      <c r="B290" s="5" t="inlineStr">
        <is>
          <t>127 W Pepper Pl, Mesa, AZ 85201</t>
        </is>
      </c>
      <c r="C290" s="10" t="n">
        <v>7.04</v>
      </c>
      <c r="D290" s="7" t="n">
        <v>102</v>
      </c>
      <c r="E290" s="5" t="inlineStr">
        <is>
          <t>mf</t>
        </is>
      </c>
      <c r="F290" s="8" t="n">
        <v>2023</v>
      </c>
      <c r="G290" s="5" t="inlineStr">
        <is>
          <t>vintage 2023 is 42 years from the subject's 1981, outside the +/-10-year band</t>
        </is>
      </c>
    </row>
    <row r="291">
      <c r="A291" s="5" t="inlineStr">
        <is>
          <t>Overture Arcadia</t>
        </is>
      </c>
      <c r="B291" s="5" t="inlineStr">
        <is>
          <t>6080 E Thomas Rd, Scottsdale, AZ 85251-7508</t>
        </is>
      </c>
      <c r="C291" s="10" t="n">
        <v>7.06</v>
      </c>
      <c r="D291" s="7" t="n">
        <v>159</v>
      </c>
      <c r="E291" s="5" t="inlineStr">
        <is>
          <t>mf</t>
        </is>
      </c>
      <c r="F291" s="8" t="n">
        <v>2023</v>
      </c>
      <c r="G291" s="5" t="inlineStr">
        <is>
          <t>excluded from comp sets by the tracker: age_restricted</t>
        </is>
      </c>
    </row>
    <row r="292">
      <c r="A292" s="5" t="inlineStr">
        <is>
          <t>Biscayne Bay</t>
        </is>
      </c>
      <c r="B292" s="5" t="inlineStr">
        <is>
          <t>300 E Warner Rd, Chandler, AZ 85225</t>
        </is>
      </c>
      <c r="C292" s="10" t="n">
        <v>7.07</v>
      </c>
      <c r="D292" s="7" t="n">
        <v>512</v>
      </c>
      <c r="E292" s="5" t="inlineStr">
        <is>
          <t>mf</t>
        </is>
      </c>
      <c r="F292" s="8" t="n">
        <v>2000</v>
      </c>
      <c r="G292" s="5" t="inlineStr">
        <is>
          <t>vintage 2000 is 19 years from the subject's 1981, outside the +/-10-year band</t>
        </is>
      </c>
    </row>
    <row r="293">
      <c r="A293" s="5" t="inlineStr">
        <is>
          <t>Parklane Commons</t>
        </is>
      </c>
      <c r="B293" s="5" t="inlineStr">
        <is>
          <t>1283 W Parklane Blvd, Chandler, AZ 85224-5216</t>
        </is>
      </c>
      <c r="C293" s="10" t="n">
        <v>7.08</v>
      </c>
      <c r="D293" s="7" t="n">
        <v>180</v>
      </c>
      <c r="E293" s="5" t="inlineStr">
        <is>
          <t>mf</t>
        </is>
      </c>
      <c r="F293" s="8" t="n">
        <v>1986</v>
      </c>
      <c r="G293" s="5" t="inlineStr">
        <is>
          <t>outside the service's preselection of 20: its rents are tracked but no unit group was quoted for it, so it is listed nearby</t>
        </is>
      </c>
    </row>
    <row r="294">
      <c r="A294" s="5" t="inlineStr">
        <is>
          <t>Parq at East Arcadia</t>
        </is>
      </c>
      <c r="B294" s="5" t="inlineStr">
        <is>
          <t>5401 E Thomas Rd, Phoenix, AZ 85018</t>
        </is>
      </c>
      <c r="C294" s="10" t="n">
        <v>7.09</v>
      </c>
      <c r="D294" s="7" t="n">
        <v>181</v>
      </c>
      <c r="E294" s="5" t="inlineStr">
        <is>
          <t>mf</t>
        </is>
      </c>
      <c r="F294" s="8" t="n">
        <v>1979</v>
      </c>
      <c r="G294" s="5" t="inlineStr">
        <is>
          <t>outside the service's preselection of 20: its rents are tracked but no unit group was quoted for it, so it is listed nearby</t>
        </is>
      </c>
    </row>
    <row r="295">
      <c r="A295" s="5" t="inlineStr">
        <is>
          <t>San Rivello</t>
        </is>
      </c>
      <c r="B295" s="5" t="inlineStr">
        <is>
          <t>5333 E Thomas Rd, Phoenix, AZ 85018</t>
        </is>
      </c>
      <c r="C295" s="10" t="n">
        <v>7.09</v>
      </c>
      <c r="D295" s="7" t="n">
        <v>160</v>
      </c>
      <c r="E295" s="5" t="inlineStr">
        <is>
          <t>mf</t>
        </is>
      </c>
      <c r="F295" s="8" t="n">
        <v>1975</v>
      </c>
      <c r="G295" s="5" t="inlineStr">
        <is>
          <t>excluded from comp sets by the tracker: income_restricted</t>
        </is>
      </c>
    </row>
    <row r="296">
      <c r="A296" s="5" t="inlineStr">
        <is>
          <t>Stone Oaks Apartments</t>
        </is>
      </c>
      <c r="B296" s="5" t="inlineStr">
        <is>
          <t>2450 W Pecos Rd, Chandler, AZ 85224</t>
        </is>
      </c>
      <c r="C296" s="10" t="n">
        <v>7.09</v>
      </c>
      <c r="D296" s="7" t="n">
        <v>392</v>
      </c>
      <c r="E296" s="5" t="inlineStr">
        <is>
          <t>mf</t>
        </is>
      </c>
      <c r="F296" s="8" t="n">
        <v>2003</v>
      </c>
      <c r="G296" s="5" t="inlineStr">
        <is>
          <t>vintage 2003 is 22 years from the subject's 1981, outside the +/-10-year band</t>
        </is>
      </c>
    </row>
    <row r="297">
      <c r="A297" s="5" t="inlineStr">
        <is>
          <t>Monument Chandler</t>
        </is>
      </c>
      <c r="B297" s="5" t="inlineStr">
        <is>
          <t>2300 W Pecos Rd, Chandler, AZ 85224</t>
        </is>
      </c>
      <c r="C297" s="10" t="n">
        <v>7.1</v>
      </c>
      <c r="D297" s="7" t="n">
        <v>163</v>
      </c>
      <c r="E297" s="5" t="inlineStr">
        <is>
          <t>mf</t>
        </is>
      </c>
      <c r="F297" s="8" t="n">
        <v>2014</v>
      </c>
      <c r="G297" s="5" t="inlineStr">
        <is>
          <t>vintage 2014 is 33 years from the subject's 1981, outside the +/-10-year band</t>
        </is>
      </c>
    </row>
    <row r="298">
      <c r="A298" s="5" t="inlineStr">
        <is>
          <t>Scottsdale 59</t>
        </is>
      </c>
      <c r="B298" s="5" t="inlineStr">
        <is>
          <t>5900 E Thomas Rd, Scottsdale, AZ 85251-7512</t>
        </is>
      </c>
      <c r="C298" s="10" t="n">
        <v>7.11</v>
      </c>
      <c r="D298" s="7" t="n">
        <v>360</v>
      </c>
      <c r="E298" s="5" t="inlineStr">
        <is>
          <t>mf</t>
        </is>
      </c>
      <c r="F298" s="8" t="n">
        <v>1973</v>
      </c>
      <c r="G298" s="5" t="inlineStr">
        <is>
          <t>outside the service's preselection of 20: its rents are tracked but no unit group was quoted for it, so it is listed nearby</t>
        </is>
      </c>
    </row>
    <row r="299">
      <c r="A299" s="5" t="inlineStr">
        <is>
          <t>Senara Apartments</t>
        </is>
      </c>
      <c r="B299" s="5" t="inlineStr">
        <is>
          <t>5225-5227 E Thomas Rd, Phoenix, AZ 85018-8030</t>
        </is>
      </c>
      <c r="C299" s="10" t="n">
        <v>7.11</v>
      </c>
      <c r="D299" s="7" t="n">
        <v>158</v>
      </c>
      <c r="E299" s="5" t="inlineStr">
        <is>
          <t>mf</t>
        </is>
      </c>
      <c r="F299" s="8" t="n">
        <v>1978</v>
      </c>
      <c r="G299" s="5" t="inlineStr">
        <is>
          <t>outside the service's preselection of 20: its rents are tracked but no unit group was quoted for it, so it is listed nearby</t>
        </is>
      </c>
    </row>
    <row r="300">
      <c r="A300" s="5" t="inlineStr">
        <is>
          <t>MAA Old Town Scottsdale</t>
        </is>
      </c>
      <c r="B300" s="5" t="inlineStr">
        <is>
          <t>2929 N 70th St, Scottsdale, AZ 85251</t>
        </is>
      </c>
      <c r="C300" s="10" t="n">
        <v>7.17</v>
      </c>
      <c r="D300" s="7" t="n">
        <v>472</v>
      </c>
      <c r="E300" s="5" t="inlineStr">
        <is>
          <t>mf</t>
        </is>
      </c>
      <c r="F300" s="8" t="n">
        <v>1994</v>
      </c>
      <c r="G300" s="5" t="inlineStr">
        <is>
          <t>vintage 1994 is 13 years from the subject's 1981, outside the +/-10-year band</t>
        </is>
      </c>
    </row>
    <row r="301">
      <c r="A301" s="5" t="inlineStr">
        <is>
          <t>Cantera</t>
        </is>
      </c>
      <c r="B301" s="5" t="inlineStr">
        <is>
          <t>2475 W Pecos Rd, Chandler, AZ 85224-4807</t>
        </is>
      </c>
      <c r="C301" s="10" t="n">
        <v>7.18</v>
      </c>
      <c r="D301" s="7" t="n">
        <v>288</v>
      </c>
      <c r="E301" s="5" t="inlineStr">
        <is>
          <t>mf</t>
        </is>
      </c>
      <c r="F301" s="8" t="n">
        <v>2002</v>
      </c>
      <c r="G301" s="5" t="inlineStr">
        <is>
          <t>vintage 2002 is 21 years from the subject's 1981, outside the +/-10-year band</t>
        </is>
      </c>
    </row>
    <row r="302">
      <c r="A302" s="5" t="inlineStr">
        <is>
          <t>MAA Camelback</t>
        </is>
      </c>
      <c r="B302" s="5" t="inlineStr">
        <is>
          <t>6400 E Thomas Rd, Scottsdale, AZ 85251</t>
        </is>
      </c>
      <c r="C302" s="10" t="n">
        <v>7.19</v>
      </c>
      <c r="D302" s="7" t="n">
        <v>180</v>
      </c>
      <c r="E302" s="5" t="inlineStr">
        <is>
          <t>mf</t>
        </is>
      </c>
      <c r="F302" s="8" t="n">
        <v>1999</v>
      </c>
      <c r="G302" s="5" t="inlineStr">
        <is>
          <t>vintage 1999 is 18 years from the subject's 1981, outside the +/-10-year band</t>
        </is>
      </c>
    </row>
    <row r="303">
      <c r="A303" s="5" t="inlineStr">
        <is>
          <t>Prados Apartments at Arcadia</t>
        </is>
      </c>
      <c r="B303" s="5" t="inlineStr">
        <is>
          <t>4815 E Thomas Rd, Phoenix, AZ 85018</t>
        </is>
      </c>
      <c r="C303" s="10" t="n">
        <v>7.19</v>
      </c>
      <c r="D303" s="7" t="n">
        <v>187</v>
      </c>
      <c r="E303" s="5" t="inlineStr">
        <is>
          <t>mf</t>
        </is>
      </c>
      <c r="F303" s="8" t="n">
        <v>1978</v>
      </c>
      <c r="G303" s="5" t="inlineStr">
        <is>
          <t>outside the service's preselection of 20: its rents are tracked but no unit group was quoted for it, so it is listed nearby</t>
        </is>
      </c>
    </row>
    <row r="304">
      <c r="A304" s="5" t="inlineStr">
        <is>
          <t>Stone View on Central</t>
        </is>
      </c>
      <c r="B304" s="5" t="inlineStr">
        <is>
          <t>8350 S Central Ave, Phoenix, AZ 85042</t>
        </is>
      </c>
      <c r="C304" s="10" t="n">
        <v>7.19</v>
      </c>
      <c r="D304" s="7" t="n">
        <v>58</v>
      </c>
      <c r="E304" s="5" t="inlineStr">
        <is>
          <t>bfr</t>
        </is>
      </c>
      <c r="F304" s="12" t="n"/>
      <c r="G304" s="5" t="inlineStr">
        <is>
          <t>different product: tracked as bfr, subject is MF</t>
        </is>
      </c>
    </row>
    <row r="305">
      <c r="A305" s="5" t="inlineStr">
        <is>
          <t>Apex On Central</t>
        </is>
      </c>
      <c r="B305" s="5" t="inlineStr">
        <is>
          <t>40 E Sunland Ave, Phoenix, AZ 85040-9300</t>
        </is>
      </c>
      <c r="C305" s="10" t="n">
        <v>7.2</v>
      </c>
      <c r="D305" s="7" t="n">
        <v>117</v>
      </c>
      <c r="E305" s="5" t="inlineStr">
        <is>
          <t>mf</t>
        </is>
      </c>
      <c r="F305" s="8" t="n">
        <v>1988</v>
      </c>
      <c r="G305" s="5" t="inlineStr">
        <is>
          <t>outside the service's preselection of 20: its rents are tracked but no unit group was quoted for it, so it is listed nearby</t>
        </is>
      </c>
    </row>
    <row r="306">
      <c r="A306" s="5" t="inlineStr">
        <is>
          <t>Equinox on Country Club</t>
        </is>
      </c>
      <c r="B306" s="5" t="inlineStr">
        <is>
          <t>645 N Country Club Dr, Mesa, AZ 85201-4913</t>
        </is>
      </c>
      <c r="C306" s="10" t="n">
        <v>7.2</v>
      </c>
      <c r="D306" s="7" t="n">
        <v>196</v>
      </c>
      <c r="E306" s="5" t="inlineStr">
        <is>
          <t>mf</t>
        </is>
      </c>
      <c r="F306" s="8" t="n">
        <v>1979</v>
      </c>
      <c r="G306" s="5" t="inlineStr">
        <is>
          <t>outside the service's preselection of 20: its rents are tracked but no unit group was quoted for it, so it is listed nearby</t>
        </is>
      </c>
    </row>
    <row r="307">
      <c r="A307" s="5" t="inlineStr">
        <is>
          <t>Sonoran Palms</t>
        </is>
      </c>
      <c r="B307" s="5" t="inlineStr">
        <is>
          <t>900 N Country Club Dr, Mesa, AZ 85201</t>
        </is>
      </c>
      <c r="C307" s="10" t="n">
        <v>7.21</v>
      </c>
      <c r="D307" s="7" t="n">
        <v>206</v>
      </c>
      <c r="E307" s="5" t="inlineStr">
        <is>
          <t>mf</t>
        </is>
      </c>
      <c r="F307" s="8" t="n">
        <v>1978</v>
      </c>
      <c r="G307" s="5" t="inlineStr">
        <is>
          <t>outside the service's preselection of 20: its rents are tracked but no unit group was quoted for it, so it is listed nearby</t>
        </is>
      </c>
    </row>
    <row r="308">
      <c r="A308" s="5" t="inlineStr">
        <is>
          <t>Arbor Village</t>
        </is>
      </c>
      <c r="B308" s="5" t="inlineStr">
        <is>
          <t>8028 S Central Ave, Phoenix, AZ 85042-6565</t>
        </is>
      </c>
      <c r="C308" s="10" t="n">
        <v>7.22</v>
      </c>
      <c r="D308" s="7" t="n">
        <v>225</v>
      </c>
      <c r="E308" s="5" t="inlineStr">
        <is>
          <t>mf</t>
        </is>
      </c>
      <c r="F308" s="8" t="n">
        <v>1986</v>
      </c>
      <c r="G308" s="5" t="inlineStr">
        <is>
          <t>outside the service's preselection of 20: its rents are tracked but no unit group was quoted for it, so it is listed nearby</t>
        </is>
      </c>
    </row>
    <row r="309">
      <c r="A309" s="5" t="inlineStr">
        <is>
          <t>Arcadia Walk</t>
        </is>
      </c>
      <c r="B309" s="5" t="inlineStr">
        <is>
          <t>2606 N 44th St, Phoenix, AZ 85008</t>
        </is>
      </c>
      <c r="C309" s="10" t="n">
        <v>7.22</v>
      </c>
      <c r="D309" s="7" t="n">
        <v>148</v>
      </c>
      <c r="E309" s="5" t="inlineStr">
        <is>
          <t>mf</t>
        </is>
      </c>
      <c r="F309" s="8" t="n">
        <v>1978</v>
      </c>
      <c r="G309" s="5" t="inlineStr">
        <is>
          <t>outside the service's preselection of 20: its rents are tracked but no unit group was quoted for it, so it is listed nearby</t>
        </is>
      </c>
    </row>
    <row r="310">
      <c r="A310" s="5" t="inlineStr">
        <is>
          <t>Mera Chandler</t>
        </is>
      </c>
      <c r="B310" s="5" t="inlineStr">
        <is>
          <t>2050 W Pecos Blvd, Chandler, AZ 85224</t>
        </is>
      </c>
      <c r="C310" s="10" t="n">
        <v>7.24</v>
      </c>
      <c r="D310" s="7" t="n">
        <v>184</v>
      </c>
      <c r="E310" s="5" t="inlineStr">
        <is>
          <t>mf</t>
        </is>
      </c>
      <c r="F310" s="8" t="n">
        <v>2023</v>
      </c>
      <c r="G310" s="5" t="inlineStr">
        <is>
          <t>excluded from comp sets by the tracker: age_restricted</t>
        </is>
      </c>
    </row>
    <row r="311">
      <c r="A311" s="5" t="inlineStr">
        <is>
          <t>Arcadia on 49th</t>
        </is>
      </c>
      <c r="B311" s="5" t="inlineStr">
        <is>
          <t>4902 E Thomas Rd, Phoenix, AZ 85018</t>
        </is>
      </c>
      <c r="C311" s="10" t="n">
        <v>7.25</v>
      </c>
      <c r="D311" s="7" t="n">
        <v>192</v>
      </c>
      <c r="E311" s="5" t="inlineStr">
        <is>
          <t>mf</t>
        </is>
      </c>
      <c r="F311" s="8" t="n">
        <v>1971</v>
      </c>
      <c r="G311" s="5" t="inlineStr">
        <is>
          <t>outside the service's preselection of 20: its rents are tracked but no unit group was quoted for it, so it is listed nearby</t>
        </is>
      </c>
    </row>
    <row r="312">
      <c r="A312" s="5" t="inlineStr">
        <is>
          <t>Parq on 50th</t>
        </is>
      </c>
      <c r="B312" s="5" t="inlineStr">
        <is>
          <t>5008 E Thomas Rd, Phoenix, AZ 85018</t>
        </is>
      </c>
      <c r="C312" s="10" t="n">
        <v>7.25</v>
      </c>
      <c r="D312" s="7" t="n">
        <v>155</v>
      </c>
      <c r="E312" s="5" t="inlineStr">
        <is>
          <t>mf</t>
        </is>
      </c>
      <c r="F312" s="8" t="n">
        <v>1979</v>
      </c>
      <c r="G312" s="5" t="inlineStr">
        <is>
          <t>outside the service's preselection of 20: its rents are tracked but no unit group was quoted for it, so it is listed nearby</t>
        </is>
      </c>
    </row>
    <row r="313">
      <c r="A313" s="5" t="inlineStr">
        <is>
          <t>San Tropez Apartment Homes</t>
        </is>
      </c>
      <c r="B313" s="5" t="inlineStr">
        <is>
          <t>2700 N Hayden Rd, Scottsdale, AZ 85257</t>
        </is>
      </c>
      <c r="C313" s="10" t="n">
        <v>7.27</v>
      </c>
      <c r="D313" s="7" t="n">
        <v>316</v>
      </c>
      <c r="E313" s="5" t="inlineStr">
        <is>
          <t>mf</t>
        </is>
      </c>
      <c r="F313" s="8" t="n">
        <v>1988</v>
      </c>
      <c r="G313" s="5" t="inlineStr">
        <is>
          <t>outside the service's preselection of 20: its rents are tracked but no unit group was quoted for it, so it is listed nearby</t>
        </is>
      </c>
    </row>
    <row r="314">
      <c r="A314" s="5" t="inlineStr">
        <is>
          <t>Camino Tomas Apartments</t>
        </is>
      </c>
      <c r="B314" s="5" t="inlineStr">
        <is>
          <t>4630 E Thomas Rd, Phoenix, AZ 85018-7737</t>
        </is>
      </c>
      <c r="C314" s="10" t="n">
        <v>7.3</v>
      </c>
      <c r="D314" s="7" t="n">
        <v>126</v>
      </c>
      <c r="E314" s="5" t="inlineStr">
        <is>
          <t>mf</t>
        </is>
      </c>
      <c r="F314" s="8" t="n">
        <v>1972</v>
      </c>
      <c r="G314" s="5" t="inlineStr">
        <is>
          <t>outside the service's preselection of 20: its rents are tracked but no unit group was quoted for it, so it is listed nearby</t>
        </is>
      </c>
    </row>
    <row r="315">
      <c r="A315" s="5" t="inlineStr">
        <is>
          <t>The TomScot</t>
        </is>
      </c>
      <c r="B315" s="5" t="inlineStr">
        <is>
          <t>3015A N Scottsdale Rd, Scottsdale, AZ 85251-7209</t>
        </is>
      </c>
      <c r="C315" s="10" t="n">
        <v>7.32</v>
      </c>
      <c r="D315" s="7" t="n">
        <v>278</v>
      </c>
      <c r="E315" s="5" t="inlineStr">
        <is>
          <t>mf</t>
        </is>
      </c>
      <c r="F315" s="8" t="n">
        <v>2016</v>
      </c>
      <c r="G315" s="5" t="inlineStr">
        <is>
          <t>vintage 2016 is 35 years from the subject's 1981, outside the +/-10-year band</t>
        </is>
      </c>
    </row>
    <row r="316">
      <c r="A316" s="5" t="inlineStr">
        <is>
          <t>The Vintage</t>
        </is>
      </c>
      <c r="B316" s="5" t="inlineStr">
        <is>
          <t>7440 E Thomas Rd, Scottsdale, AZ 85251-6927</t>
        </is>
      </c>
      <c r="C316" s="10" t="n">
        <v>7.33</v>
      </c>
      <c r="D316" s="7" t="n">
        <v>152</v>
      </c>
      <c r="E316" s="5" t="inlineStr">
        <is>
          <t>mf</t>
        </is>
      </c>
      <c r="F316" s="8" t="n">
        <v>1971</v>
      </c>
      <c r="G316" s="5" t="inlineStr">
        <is>
          <t>outside the service's preselection of 20: its rents are tracked but no unit group was quoted for it, so it is listed nearby</t>
        </is>
      </c>
    </row>
    <row r="317">
      <c r="A317" s="5" t="inlineStr">
        <is>
          <t>Alta Rise</t>
        </is>
      </c>
      <c r="B317" s="5" t="inlineStr">
        <is>
          <t>80 N McQueen Rd, Gilbert, AZ 85233-5043</t>
        </is>
      </c>
      <c r="C317" s="10" t="n">
        <v>7.34</v>
      </c>
      <c r="D317" s="7" t="n">
        <v>278</v>
      </c>
      <c r="E317" s="5" t="inlineStr">
        <is>
          <t>mf</t>
        </is>
      </c>
      <c r="F317" s="8" t="n">
        <v>2025</v>
      </c>
      <c r="G317" s="5" t="inlineStr">
        <is>
          <t>vintage 2025 is 44 years from the subject's 1981, outside the +/-10-year band</t>
        </is>
      </c>
    </row>
    <row r="318">
      <c r="A318" s="5" t="inlineStr">
        <is>
          <t>The Linq</t>
        </is>
      </c>
      <c r="B318" s="5" t="inlineStr">
        <is>
          <t>125 S Alma School Rd, Chandler, AZ 85224-7600</t>
        </is>
      </c>
      <c r="C318" s="10" t="n">
        <v>7.37</v>
      </c>
      <c r="D318" s="7" t="n">
        <v>324</v>
      </c>
      <c r="E318" s="5" t="inlineStr">
        <is>
          <t>mf</t>
        </is>
      </c>
      <c r="F318" s="8" t="n">
        <v>2000</v>
      </c>
      <c r="G318" s="5" t="inlineStr">
        <is>
          <t>vintage 2000 is 19 years from the subject's 1981, outside the +/-10-year band</t>
        </is>
      </c>
    </row>
    <row r="319">
      <c r="A319" s="5" t="inlineStr">
        <is>
          <t>Harmony at the Park</t>
        </is>
      </c>
      <c r="B319" s="5" t="inlineStr">
        <is>
          <t>1950 E Polk St, Phoenix, AZ 85006</t>
        </is>
      </c>
      <c r="C319" s="10" t="n">
        <v>7.38</v>
      </c>
      <c r="D319" s="7" t="n">
        <v>300</v>
      </c>
      <c r="E319" s="5" t="inlineStr">
        <is>
          <t>mf</t>
        </is>
      </c>
      <c r="F319" s="8" t="n">
        <v>2023</v>
      </c>
      <c r="G319" s="5" t="inlineStr">
        <is>
          <t>excluded from comp sets by the tracker: income_restricted</t>
        </is>
      </c>
    </row>
    <row r="320">
      <c r="A320" s="5" t="inlineStr">
        <is>
          <t>Melody on Main</t>
        </is>
      </c>
      <c r="B320" s="5" t="inlineStr">
        <is>
          <t>145 E Main St, Mesa, AZ 85201-7407</t>
        </is>
      </c>
      <c r="C320" s="10" t="n">
        <v>7.41</v>
      </c>
      <c r="D320" s="7" t="n">
        <v>335</v>
      </c>
      <c r="E320" s="5" t="inlineStr">
        <is>
          <t>mf</t>
        </is>
      </c>
      <c r="F320" s="8" t="n">
        <v>2023</v>
      </c>
      <c r="G320" s="5" t="inlineStr">
        <is>
          <t>vintage 2023 is 42 years from the subject's 1981, outside the +/-10-year band</t>
        </is>
      </c>
    </row>
    <row r="321">
      <c r="A321" s="5" t="inlineStr">
        <is>
          <t>The Fairways at San Marcos</t>
        </is>
      </c>
      <c r="B321" s="5" t="inlineStr">
        <is>
          <t>777 W Chandler Blvd, Chandler, AZ 85225</t>
        </is>
      </c>
      <c r="C321" s="10" t="n">
        <v>7.42</v>
      </c>
      <c r="D321" s="7" t="n">
        <v>352</v>
      </c>
      <c r="E321" s="5" t="inlineStr">
        <is>
          <t>mf</t>
        </is>
      </c>
      <c r="F321" s="8" t="n">
        <v>1986</v>
      </c>
      <c r="G321" s="5" t="inlineStr">
        <is>
          <t>outside the service's preselection of 20: its rents are tracked but no unit group was quoted for it, so it is listed nearby</t>
        </is>
      </c>
    </row>
    <row r="322">
      <c r="A322" s="5" t="inlineStr">
        <is>
          <t>Elevate on Vineyard</t>
        </is>
      </c>
      <c r="B322" s="5" t="inlineStr">
        <is>
          <t>6821 S Montezuma St, Phoenix, AZ 85041-6803</t>
        </is>
      </c>
      <c r="C322" s="10" t="n">
        <v>7.44</v>
      </c>
      <c r="D322" s="7" t="n">
        <v>52</v>
      </c>
      <c r="E322" s="5" t="inlineStr">
        <is>
          <t>bfr</t>
        </is>
      </c>
      <c r="F322" s="12" t="n"/>
      <c r="G322" s="5" t="inlineStr">
        <is>
          <t>different product: tracked as bfr, subject is MF</t>
        </is>
      </c>
    </row>
    <row r="323">
      <c r="A323" s="5" t="inlineStr">
        <is>
          <t>Paradise Palms II</t>
        </is>
      </c>
      <c r="B323" s="5" t="inlineStr">
        <is>
          <t>234 W Southern Ave, Phoenix, AZ 85041</t>
        </is>
      </c>
      <c r="C323" s="10" t="n">
        <v>7.46</v>
      </c>
      <c r="D323" s="7" t="n">
        <v>110</v>
      </c>
      <c r="E323" s="5" t="inlineStr">
        <is>
          <t>mf</t>
        </is>
      </c>
      <c r="F323" s="8" t="n">
        <v>2000</v>
      </c>
      <c r="G323" s="5" t="inlineStr">
        <is>
          <t>excluded from comp sets by the tracker: income_restricted</t>
        </is>
      </c>
    </row>
    <row r="324">
      <c r="A324" s="5" t="inlineStr">
        <is>
          <t>Cimarron Apartments</t>
        </is>
      </c>
      <c r="B324" s="5" t="inlineStr">
        <is>
          <t>151 E 1st St, Mesa, AZ 85201</t>
        </is>
      </c>
      <c r="C324" s="10" t="n">
        <v>7.48</v>
      </c>
      <c r="D324" s="7" t="n">
        <v>210</v>
      </c>
      <c r="E324" s="5" t="inlineStr">
        <is>
          <t>mf</t>
        </is>
      </c>
      <c r="F324" s="8" t="n">
        <v>1985</v>
      </c>
      <c r="G324" s="5" t="inlineStr">
        <is>
          <t>outside the service's preselection of 20: its rents are tracked but no unit group was quoted for it, so it is listed nearby</t>
        </is>
      </c>
    </row>
    <row r="325">
      <c r="A325" s="5" t="inlineStr">
        <is>
          <t>Monterra Apartment Homes</t>
        </is>
      </c>
      <c r="B325" s="5" t="inlineStr">
        <is>
          <t>1333 N 24th St, Phoenix, AZ 85008</t>
        </is>
      </c>
      <c r="C325" s="10" t="n">
        <v>7.49</v>
      </c>
      <c r="D325" s="7" t="n">
        <v>258</v>
      </c>
      <c r="E325" s="5" t="inlineStr">
        <is>
          <t>mf</t>
        </is>
      </c>
      <c r="F325" s="8" t="n">
        <v>2000</v>
      </c>
      <c r="G325" s="5" t="inlineStr">
        <is>
          <t>vintage 2000 is 19 years from the subject's 1981, outside the +/-10-year band</t>
        </is>
      </c>
    </row>
    <row r="326">
      <c r="A326" s="5" t="inlineStr">
        <is>
          <t>Whispering Pines Apartments</t>
        </is>
      </c>
      <c r="B326" s="5" t="inlineStr">
        <is>
          <t>2601 N 36th St, Phoenix, AZ 85008-1308</t>
        </is>
      </c>
      <c r="C326" s="10" t="n">
        <v>7.51</v>
      </c>
      <c r="D326" s="7" t="n">
        <v>325</v>
      </c>
      <c r="E326" s="5" t="inlineStr">
        <is>
          <t>mf</t>
        </is>
      </c>
      <c r="F326" s="8" t="n">
        <v>1972</v>
      </c>
      <c r="G326" s="5" t="inlineStr">
        <is>
          <t>outside the service's preselection of 20: its rents are tracked but no unit group was quoted for it, so it is listed nearby</t>
        </is>
      </c>
    </row>
    <row r="327">
      <c r="A327" s="5" t="inlineStr">
        <is>
          <t>Paradise Palms I</t>
        </is>
      </c>
      <c r="B327" s="5" t="inlineStr">
        <is>
          <t>304 W Southern Ave, Phoenix, AZ 85041</t>
        </is>
      </c>
      <c r="C327" s="10" t="n">
        <v>7.52</v>
      </c>
      <c r="D327" s="7" t="n">
        <v>104</v>
      </c>
      <c r="E327" s="5" t="inlineStr">
        <is>
          <t>mf</t>
        </is>
      </c>
      <c r="F327" s="8" t="n">
        <v>1999</v>
      </c>
      <c r="G327" s="5" t="inlineStr">
        <is>
          <t>excluded from comp sets by the tracker: income_restricted</t>
        </is>
      </c>
    </row>
    <row r="328">
      <c r="A328" s="5" t="inlineStr">
        <is>
          <t>IMT Chandler</t>
        </is>
      </c>
      <c r="B328" s="5" t="inlineStr">
        <is>
          <t>235 E Ray Rd, Chandler, AZ 85225</t>
        </is>
      </c>
      <c r="C328" s="10" t="n">
        <v>7.53</v>
      </c>
      <c r="D328" s="7" t="n">
        <v>221</v>
      </c>
      <c r="E328" s="5" t="inlineStr">
        <is>
          <t>mf</t>
        </is>
      </c>
      <c r="F328" s="8" t="n">
        <v>2002</v>
      </c>
      <c r="G328" s="5" t="inlineStr">
        <is>
          <t>vintage 2002 is 21 years from the subject's 1981, outside the +/-10-year band</t>
        </is>
      </c>
    </row>
    <row r="329">
      <c r="A329" s="5" t="inlineStr">
        <is>
          <t>The Griffin Apartments</t>
        </is>
      </c>
      <c r="B329" s="5" t="inlineStr">
        <is>
          <t>3234 N Scottsdale Rd, Scottsdale, AZ 85251-8010</t>
        </is>
      </c>
      <c r="C329" s="10" t="n">
        <v>7.53</v>
      </c>
      <c r="D329" s="7" t="n">
        <v>277</v>
      </c>
      <c r="E329" s="5" t="inlineStr">
        <is>
          <t>mf</t>
        </is>
      </c>
      <c r="F329" s="8" t="n">
        <v>2018</v>
      </c>
      <c r="G329" s="5" t="inlineStr">
        <is>
          <t>vintage 2018 is 37 years from the subject's 1981, outside the +/-10-year band</t>
        </is>
      </c>
    </row>
    <row r="330">
      <c r="A330" s="5" t="inlineStr">
        <is>
          <t>Shadow Ridge</t>
        </is>
      </c>
      <c r="B330" s="5" t="inlineStr">
        <is>
          <t>6505-6509 E Osborn Rd, Scottsdale, AZ 85251</t>
        </is>
      </c>
      <c r="C330" s="10" t="n">
        <v>7.54</v>
      </c>
      <c r="D330" s="7" t="n">
        <v>232</v>
      </c>
      <c r="E330" s="5" t="inlineStr">
        <is>
          <t>mf</t>
        </is>
      </c>
      <c r="F330" s="8" t="n">
        <v>1984</v>
      </c>
      <c r="G330" s="5" t="inlineStr">
        <is>
          <t>outside the service's preselection of 20: its rents are tracked but no unit group was quoted for it, so it is listed nearby</t>
        </is>
      </c>
    </row>
    <row r="331">
      <c r="A331" s="5" t="inlineStr">
        <is>
          <t>La Mesa Village Apartments</t>
        </is>
      </c>
      <c r="B331" s="5" t="inlineStr">
        <is>
          <t>655 S Mesa Dr, Mesa, AZ 85210-2583</t>
        </is>
      </c>
      <c r="C331" s="10" t="n">
        <v>7.55</v>
      </c>
      <c r="D331" s="7" t="n">
        <v>256</v>
      </c>
      <c r="E331" s="5" t="inlineStr">
        <is>
          <t>mf</t>
        </is>
      </c>
      <c r="F331" s="8" t="n">
        <v>1986</v>
      </c>
      <c r="G331" s="5" t="inlineStr">
        <is>
          <t>outside the service's preselection of 20: its rents are tracked but no unit group was quoted for it, so it is listed nearby</t>
        </is>
      </c>
    </row>
    <row r="332">
      <c r="A332" s="5" t="inlineStr">
        <is>
          <t>544 Southern Apartments</t>
        </is>
      </c>
      <c r="B332" s="5" t="inlineStr">
        <is>
          <t>544 E Southern Ave, Mesa, AZ 85204-4935</t>
        </is>
      </c>
      <c r="C332" s="10" t="n">
        <v>7.56</v>
      </c>
      <c r="D332" s="7" t="n">
        <v>136</v>
      </c>
      <c r="E332" s="5" t="inlineStr">
        <is>
          <t>mf</t>
        </is>
      </c>
      <c r="F332" s="8" t="n">
        <v>1985</v>
      </c>
      <c r="G332" s="5" t="inlineStr">
        <is>
          <t>outside the service's preselection of 20: its rents are tracked but no unit group was quoted for it, so it is listed nearby</t>
        </is>
      </c>
    </row>
    <row r="333">
      <c r="A333" s="5" t="inlineStr">
        <is>
          <t>Hayden Park Apartments</t>
        </is>
      </c>
      <c r="B333" s="5" t="inlineStr">
        <is>
          <t>3015 N Hayden Rd, Scottsdale, AZ 85251</t>
        </is>
      </c>
      <c r="C333" s="10" t="n">
        <v>7.6</v>
      </c>
      <c r="D333" s="7" t="n">
        <v>182</v>
      </c>
      <c r="E333" s="5" t="inlineStr">
        <is>
          <t>mf</t>
        </is>
      </c>
      <c r="F333" s="8" t="n">
        <v>1985</v>
      </c>
      <c r="G333" s="5" t="inlineStr">
        <is>
          <t>outside the service's preselection of 20: its rents are tracked but no unit group was quoted for it, so it is listed nearby</t>
        </is>
      </c>
    </row>
    <row r="334">
      <c r="A334" s="5" t="inlineStr">
        <is>
          <t>Alante at the Islands</t>
        </is>
      </c>
      <c r="B334" s="5" t="inlineStr">
        <is>
          <t>2222 N McQueen Rd, Chandler, AZ 85225</t>
        </is>
      </c>
      <c r="C334" s="10" t="n">
        <v>7.61</v>
      </c>
      <c r="D334" s="7" t="n">
        <v>320</v>
      </c>
      <c r="E334" s="5" t="inlineStr">
        <is>
          <t>mf</t>
        </is>
      </c>
      <c r="F334" s="8" t="n">
        <v>1996</v>
      </c>
      <c r="G334" s="5" t="inlineStr">
        <is>
          <t>vintage 1996 is 15 years from the subject's 1981, outside the +/-10-year band</t>
        </is>
      </c>
    </row>
    <row r="335">
      <c r="A335" s="5" t="inlineStr">
        <is>
          <t>Carter</t>
        </is>
      </c>
      <c r="B335" s="5" t="inlineStr">
        <is>
          <t>3300 N Scottsdale Rd, Scottsdale, AZ 85251</t>
        </is>
      </c>
      <c r="C335" s="10" t="n">
        <v>7.61</v>
      </c>
      <c r="D335" s="7" t="n">
        <v>365</v>
      </c>
      <c r="E335" s="5" t="inlineStr">
        <is>
          <t>mf</t>
        </is>
      </c>
      <c r="F335" s="8" t="n">
        <v>2018</v>
      </c>
      <c r="G335" s="5" t="inlineStr">
        <is>
          <t>vintage 2018 is 37 years from the subject's 1981, outside the +/-10-year band</t>
        </is>
      </c>
    </row>
    <row r="336">
      <c r="A336" s="5" t="inlineStr">
        <is>
          <t>Soluna Apartments</t>
        </is>
      </c>
      <c r="B336" s="5" t="inlineStr">
        <is>
          <t>950 N 19th St, Phoenix, AZ 85006</t>
        </is>
      </c>
      <c r="C336" s="10" t="n">
        <v>7.69</v>
      </c>
      <c r="D336" s="7" t="n">
        <v>177</v>
      </c>
      <c r="E336" s="5" t="inlineStr">
        <is>
          <t>mf</t>
        </is>
      </c>
      <c r="F336" s="8" t="n">
        <v>2022</v>
      </c>
      <c r="G336" s="5" t="inlineStr">
        <is>
          <t>excluded from comp sets by the tracker: income_restricted</t>
        </is>
      </c>
    </row>
    <row r="337">
      <c r="A337" s="5" t="inlineStr">
        <is>
          <t>Streamliner 16th</t>
        </is>
      </c>
      <c r="B337" s="5" t="inlineStr">
        <is>
          <t>1616 E Polk St, Phoenix, AZ 85006</t>
        </is>
      </c>
      <c r="C337" s="10" t="n">
        <v>7.69</v>
      </c>
      <c r="D337" s="7" t="n">
        <v>208</v>
      </c>
      <c r="E337" s="5" t="inlineStr">
        <is>
          <t>mf</t>
        </is>
      </c>
      <c r="F337" s="8" t="n">
        <v>2024</v>
      </c>
      <c r="G337" s="5" t="inlineStr">
        <is>
          <t>vintage 2024 is 43 years from the subject's 1981, outside the +/-10-year band</t>
        </is>
      </c>
    </row>
    <row r="338">
      <c r="A338" s="5" t="inlineStr">
        <is>
          <t>Country Club Verandas Apartments</t>
        </is>
      </c>
      <c r="B338" s="5" t="inlineStr">
        <is>
          <t>1415 N Country Club Dr, Mesa, AZ 85201-2546</t>
        </is>
      </c>
      <c r="C338" s="10" t="n">
        <v>7.7</v>
      </c>
      <c r="D338" s="7" t="n">
        <v>348</v>
      </c>
      <c r="E338" s="5" t="inlineStr">
        <is>
          <t>mf</t>
        </is>
      </c>
      <c r="F338" s="8" t="n">
        <v>1985</v>
      </c>
      <c r="G338" s="5" t="inlineStr">
        <is>
          <t>outside the service's preselection of 20: its rents are tracked but no unit group was quoted for it, so it is listed nearby</t>
        </is>
      </c>
    </row>
    <row r="339">
      <c r="A339" s="5" t="inlineStr">
        <is>
          <t>The Sterling</t>
        </is>
      </c>
      <c r="B339" s="5" t="inlineStr">
        <is>
          <t>1303 W Juniper Ave, Gilbert, AZ 85233</t>
        </is>
      </c>
      <c r="C339" s="10" t="n">
        <v>7.71</v>
      </c>
      <c r="D339" s="7" t="n">
        <v>107</v>
      </c>
      <c r="E339" s="5" t="inlineStr">
        <is>
          <t>mf</t>
        </is>
      </c>
      <c r="F339" s="8" t="n">
        <v>2000</v>
      </c>
      <c r="G339" s="5" t="inlineStr">
        <is>
          <t>vintage 2000 is 19 years from the subject's 1981, outside the +/-10-year band</t>
        </is>
      </c>
    </row>
    <row r="340">
      <c r="A340" s="5" t="inlineStr">
        <is>
          <t>Escobedo at Verde Vista</t>
        </is>
      </c>
      <c r="B340" s="5" t="inlineStr">
        <is>
          <t>435 N Hibbert, Mesa, AZ 85201-5904</t>
        </is>
      </c>
      <c r="C340" s="10" t="n">
        <v>7.73</v>
      </c>
      <c r="D340" s="7" t="n">
        <v>194</v>
      </c>
      <c r="E340" s="5" t="inlineStr">
        <is>
          <t>mf</t>
        </is>
      </c>
      <c r="F340" s="8" t="n">
        <v>2013</v>
      </c>
      <c r="G340" s="5" t="inlineStr">
        <is>
          <t>excluded from comp sets by the tracker: income_restricted</t>
        </is>
      </c>
    </row>
    <row r="341">
      <c r="A341" s="5" t="inlineStr">
        <is>
          <t>Summit at San Marcos</t>
        </is>
      </c>
      <c r="B341" s="5" t="inlineStr">
        <is>
          <t>445 W Chandler Blvd, Chandler, AZ 85225-2107</t>
        </is>
      </c>
      <c r="C341" s="10" t="n">
        <v>7.73</v>
      </c>
      <c r="D341" s="7" t="n">
        <v>273</v>
      </c>
      <c r="E341" s="5" t="inlineStr">
        <is>
          <t>mf</t>
        </is>
      </c>
      <c r="F341" s="8" t="n">
        <v>2018</v>
      </c>
      <c r="G341" s="5" t="inlineStr">
        <is>
          <t>vintage 2018 is 37 years from the subject's 1981, outside the +/-10-year band</t>
        </is>
      </c>
    </row>
    <row r="342">
      <c r="A342" s="5" t="inlineStr">
        <is>
          <t>Denim Scottsdale</t>
        </is>
      </c>
      <c r="B342" s="5" t="inlineStr">
        <is>
          <t>7791 E Osborn Rd, Scottsdale, AZ 85251</t>
        </is>
      </c>
      <c r="C342" s="10" t="n">
        <v>7.74</v>
      </c>
      <c r="D342" s="7" t="n">
        <v>645</v>
      </c>
      <c r="E342" s="5" t="inlineStr">
        <is>
          <t>mf</t>
        </is>
      </c>
      <c r="F342" s="8" t="n">
        <v>1979</v>
      </c>
      <c r="G342" s="5" t="inlineStr">
        <is>
          <t>outside the service's preselection of 20: its rents are tracked but no unit group was quoted for it, so it is listed nearby</t>
        </is>
      </c>
    </row>
    <row r="343">
      <c r="A343" s="5" t="inlineStr">
        <is>
          <t>Palm Terrace Apartments</t>
        </is>
      </c>
      <c r="B343" s="5" t="inlineStr">
        <is>
          <t>555 E Ray Rd, Chandler, AZ 85225</t>
        </is>
      </c>
      <c r="C343" s="10" t="n">
        <v>7.75</v>
      </c>
      <c r="D343" s="7" t="n">
        <v>180</v>
      </c>
      <c r="E343" s="5" t="inlineStr">
        <is>
          <t>mf</t>
        </is>
      </c>
      <c r="F343" s="8" t="n">
        <v>1996</v>
      </c>
      <c r="G343" s="5" t="inlineStr">
        <is>
          <t>excluded from comp sets by the tracker: income_restricted</t>
        </is>
      </c>
    </row>
    <row r="344">
      <c r="A344" s="5" t="inlineStr">
        <is>
          <t>Casitas at San Marcos</t>
        </is>
      </c>
      <c r="B344" s="5" t="inlineStr">
        <is>
          <t>901 S Alma School Rd, Chandler, AZ 85225</t>
        </is>
      </c>
      <c r="C344" s="10" t="n">
        <v>7.78</v>
      </c>
      <c r="D344" s="7" t="n">
        <v>256</v>
      </c>
      <c r="E344" s="5" t="inlineStr">
        <is>
          <t>mf</t>
        </is>
      </c>
      <c r="F344" s="8" t="n">
        <v>2014</v>
      </c>
      <c r="G344" s="5" t="inlineStr">
        <is>
          <t>vintage 2014 is 33 years from the subject's 1981, outside the +/-10-year band</t>
        </is>
      </c>
    </row>
    <row r="345">
      <c r="A345" s="5" t="inlineStr">
        <is>
          <t>Vineyard Estates Apartments</t>
        </is>
      </c>
      <c r="B345" s="5" t="inlineStr">
        <is>
          <t>915 W Alta Vista Rd, Phoenix, AZ 85041</t>
        </is>
      </c>
      <c r="C345" s="10" t="n">
        <v>7.81</v>
      </c>
      <c r="D345" s="7" t="n">
        <v>144</v>
      </c>
      <c r="E345" s="5" t="inlineStr">
        <is>
          <t>mf</t>
        </is>
      </c>
      <c r="F345" s="8" t="n">
        <v>2001</v>
      </c>
      <c r="G345" s="5" t="inlineStr">
        <is>
          <t>excluded from comp sets by the tracker: income_restricted</t>
        </is>
      </c>
    </row>
    <row r="346">
      <c r="A346" s="5" t="inlineStr">
        <is>
          <t>Mason Oliver</t>
        </is>
      </c>
      <c r="B346" s="5" t="inlineStr">
        <is>
          <t>11 S 12th St, Phoenix, AZ 85034</t>
        </is>
      </c>
      <c r="C346" s="10" t="n">
        <v>7.84</v>
      </c>
      <c r="D346" s="7" t="n">
        <v>292</v>
      </c>
      <c r="E346" s="5" t="inlineStr">
        <is>
          <t>mf</t>
        </is>
      </c>
      <c r="F346" s="8" t="n">
        <v>2015</v>
      </c>
      <c r="G346" s="5" t="inlineStr">
        <is>
          <t>vintage 2015 is 34 years from the subject's 1981, outside the +/-10-year band</t>
        </is>
      </c>
    </row>
    <row r="347">
      <c r="A347" s="5" t="inlineStr">
        <is>
          <t>Foothills Village</t>
        </is>
      </c>
      <c r="B347" s="5" t="inlineStr">
        <is>
          <t>920 W Alta Vista Rd, Phoenix, AZ 85041-5604</t>
        </is>
      </c>
      <c r="C347" s="10" t="n">
        <v>7.85</v>
      </c>
      <c r="D347" s="7" t="n">
        <v>200</v>
      </c>
      <c r="E347" s="5" t="inlineStr">
        <is>
          <t>mf</t>
        </is>
      </c>
      <c r="F347" s="8" t="n">
        <v>1972</v>
      </c>
      <c r="G347" s="5" t="inlineStr">
        <is>
          <t>excluded from comp sets by the tracker: income_restricted</t>
        </is>
      </c>
    </row>
    <row r="348">
      <c r="A348" s="5" t="inlineStr">
        <is>
          <t>Autumn Creek Apartments</t>
        </is>
      </c>
      <c r="B348" s="5" t="inlineStr">
        <is>
          <t>1320 N McQueen Rd, Chandler, AZ 85225-1419</t>
        </is>
      </c>
      <c r="C348" s="10" t="n">
        <v>7.88</v>
      </c>
      <c r="D348" s="7" t="n">
        <v>360</v>
      </c>
      <c r="E348" s="5" t="inlineStr">
        <is>
          <t>mf</t>
        </is>
      </c>
      <c r="F348" s="8" t="n">
        <v>1986</v>
      </c>
      <c r="G348" s="5" t="inlineStr">
        <is>
          <t>outside the service's preselection of 20: its rents are tracked but no unit group was quoted for it, so it is listed nearby</t>
        </is>
      </c>
    </row>
    <row r="349">
      <c r="A349" s="5" t="inlineStr">
        <is>
          <t>Camden Pecos Ranch</t>
        </is>
      </c>
      <c r="B349" s="5" t="inlineStr">
        <is>
          <t>1175 W Pecos Rd, Chandler, AZ 85224</t>
        </is>
      </c>
      <c r="C349" s="10" t="n">
        <v>7.89</v>
      </c>
      <c r="D349" s="7" t="n">
        <v>272</v>
      </c>
      <c r="E349" s="5" t="inlineStr">
        <is>
          <t>mf</t>
        </is>
      </c>
      <c r="F349" s="8" t="n">
        <v>2000</v>
      </c>
      <c r="G349" s="5" t="inlineStr">
        <is>
          <t>vintage 2000 is 19 years from the subject's 1981, outside the +/-10-year band</t>
        </is>
      </c>
    </row>
    <row r="350">
      <c r="A350" s="5" t="inlineStr">
        <is>
          <t>The Ragsdale</t>
        </is>
      </c>
      <c r="B350" s="5" t="inlineStr">
        <is>
          <t>1150 E Washington St, Phoenix, AZ 85034-1010</t>
        </is>
      </c>
      <c r="C350" s="10" t="n">
        <v>7.91</v>
      </c>
      <c r="D350" s="7" t="n">
        <v>266</v>
      </c>
      <c r="E350" s="5" t="inlineStr">
        <is>
          <t>mf</t>
        </is>
      </c>
      <c r="F350" s="8" t="n">
        <v>2026</v>
      </c>
      <c r="G350" s="5" t="inlineStr">
        <is>
          <t>vintage 2026 is 45 years from the subject's 1981, outside the +/-10-year band</t>
        </is>
      </c>
    </row>
    <row r="351">
      <c r="A351" s="5" t="inlineStr">
        <is>
          <t>DC Heights</t>
        </is>
      </c>
      <c r="B351" s="5" t="inlineStr">
        <is>
          <t>222 W Boston St, Chandler, AZ 85225</t>
        </is>
      </c>
      <c r="C351" s="10" t="n">
        <v>7.96</v>
      </c>
      <c r="D351" s="7" t="n">
        <v>157</v>
      </c>
      <c r="E351" s="5" t="inlineStr">
        <is>
          <t>mf</t>
        </is>
      </c>
      <c r="F351" s="8" t="n">
        <v>2023</v>
      </c>
      <c r="G351" s="5" t="inlineStr">
        <is>
          <t>vintage 2023 is 42 years from the subject's 1981, outside the +/-10-year band</t>
        </is>
      </c>
    </row>
    <row r="352">
      <c r="A352" s="5" t="inlineStr">
        <is>
          <t>Washington Manor</t>
        </is>
      </c>
      <c r="B352" s="5" t="inlineStr">
        <is>
          <t>1123 E Monroe St, Phoenix, AZ 85034</t>
        </is>
      </c>
      <c r="C352" s="10" t="n">
        <v>7.97</v>
      </c>
      <c r="D352" s="7" t="n">
        <v>112</v>
      </c>
      <c r="E352" s="5" t="inlineStr">
        <is>
          <t>mf</t>
        </is>
      </c>
      <c r="F352" s="8" t="n">
        <v>1977</v>
      </c>
      <c r="G352" s="5" t="inlineStr">
        <is>
          <t>excluded from comp sets by the tracker: income_restricted</t>
        </is>
      </c>
    </row>
    <row r="353">
      <c r="A353" s="5" t="inlineStr">
        <is>
          <t>Scottsdale on Main</t>
        </is>
      </c>
      <c r="B353" s="5" t="inlineStr">
        <is>
          <t>6901 E Main St, Scottsdale, AZ 85251-4311</t>
        </is>
      </c>
      <c r="C353" s="10" t="n">
        <v>7.98</v>
      </c>
      <c r="D353" s="7" t="n">
        <v>119</v>
      </c>
      <c r="E353" s="5" t="inlineStr">
        <is>
          <t>mf</t>
        </is>
      </c>
      <c r="F353" s="8" t="n">
        <v>2024</v>
      </c>
      <c r="G353" s="5" t="inlineStr">
        <is>
          <t>vintage 2024 is 43 years from the subject's 1981, outside the +/-10-year band</t>
        </is>
      </c>
    </row>
    <row r="354">
      <c r="A354" s="5" t="inlineStr">
        <is>
          <t>The Standard</t>
        </is>
      </c>
      <c r="B354" s="5" t="inlineStr">
        <is>
          <t>6811 E Main St, Scottsdale, AZ 85251-4309</t>
        </is>
      </c>
      <c r="C354" s="10" t="n">
        <v>7.98</v>
      </c>
      <c r="D354" s="7" t="n">
        <v>134</v>
      </c>
      <c r="E354" s="5" t="inlineStr">
        <is>
          <t>mf</t>
        </is>
      </c>
      <c r="F354" s="8" t="n">
        <v>2016</v>
      </c>
      <c r="G354" s="5" t="inlineStr">
        <is>
          <t>vintage 2016 is 35 years from the subject's 1981, outside the +/-10-year band</t>
        </is>
      </c>
    </row>
    <row r="355">
      <c r="A355" s="5" t="inlineStr">
        <is>
          <t>Alcove at the Islands</t>
        </is>
      </c>
      <c r="B355" s="5" t="inlineStr">
        <is>
          <t>1300 W Warner Rd, Gilbert, AZ 85233-7024</t>
        </is>
      </c>
      <c r="C355" s="10" t="n">
        <v>8.01</v>
      </c>
      <c r="D355" s="7" t="n">
        <v>272</v>
      </c>
      <c r="E355" s="5" t="inlineStr">
        <is>
          <t>mf</t>
        </is>
      </c>
      <c r="F355" s="8" t="n">
        <v>1989</v>
      </c>
      <c r="G355" s="5" t="inlineStr">
        <is>
          <t>outside the service's preselection of 20: its rents are tracked but no unit group was quoted for it, so it is listed nearby</t>
        </is>
      </c>
    </row>
    <row r="356">
      <c r="A356" s="5" t="inlineStr">
        <is>
          <t>VB on 12th</t>
        </is>
      </c>
      <c r="B356" s="5" t="inlineStr">
        <is>
          <t>220 N 12th St, Phoenix, AZ 85034-1112</t>
        </is>
      </c>
      <c r="C356" s="10" t="n">
        <v>8.01</v>
      </c>
      <c r="D356" s="7" t="n">
        <v>235</v>
      </c>
      <c r="E356" s="5" t="inlineStr">
        <is>
          <t>mf</t>
        </is>
      </c>
      <c r="F356" s="8" t="n">
        <v>2022</v>
      </c>
      <c r="G356" s="5" t="inlineStr">
        <is>
          <t>vintage 2022 is 41 years from the subject's 1981, outside the +/-10-year band</t>
        </is>
      </c>
    </row>
    <row r="357">
      <c r="A357" s="5" t="inlineStr">
        <is>
          <t>32 Arcadia</t>
        </is>
      </c>
      <c r="B357" s="5" t="inlineStr">
        <is>
          <t>3211 E Pinchot Ave, Phoenix, AZ 85018</t>
        </is>
      </c>
      <c r="C357" s="10" t="n">
        <v>8.02</v>
      </c>
      <c r="D357" s="7" t="n">
        <v>104</v>
      </c>
      <c r="E357" s="5" t="inlineStr">
        <is>
          <t>mf</t>
        </is>
      </c>
      <c r="F357" s="8" t="n">
        <v>1972</v>
      </c>
      <c r="G357" s="5" t="inlineStr">
        <is>
          <t>outside the service's preselection of 20: its rents are tracked but no unit group was quoted for it, so it is listed nearby</t>
        </is>
      </c>
    </row>
    <row r="358">
      <c r="A358" s="5" t="inlineStr">
        <is>
          <t>Luxe 1930</t>
        </is>
      </c>
      <c r="B358" s="5" t="inlineStr">
        <is>
          <t>1930 N Country Club Dr, Mesa, AZ 85201-1778</t>
        </is>
      </c>
      <c r="C358" s="10" t="n">
        <v>8.02</v>
      </c>
      <c r="D358" s="7" t="n">
        <v>205</v>
      </c>
      <c r="E358" s="5" t="inlineStr">
        <is>
          <t>mf</t>
        </is>
      </c>
      <c r="F358" s="8" t="n">
        <v>2000</v>
      </c>
      <c r="G358" s="5" t="inlineStr">
        <is>
          <t>vintage 2000 is 19 years from the subject's 1981, outside the +/-10-year band</t>
        </is>
      </c>
    </row>
    <row r="359">
      <c r="A359" s="5" t="inlineStr">
        <is>
          <t>Rise on Country Club</t>
        </is>
      </c>
      <c r="B359" s="5" t="inlineStr">
        <is>
          <t>1903 N Country Club Dr, Mesa, AZ 85201</t>
        </is>
      </c>
      <c r="C359" s="10" t="n">
        <v>8.039999999999999</v>
      </c>
      <c r="D359" s="7" t="n">
        <v>272</v>
      </c>
      <c r="E359" s="5" t="inlineStr">
        <is>
          <t>mf</t>
        </is>
      </c>
      <c r="F359" s="8" t="n">
        <v>1979</v>
      </c>
      <c r="G359" s="5" t="inlineStr">
        <is>
          <t>outside the service's preselection of 20: its rents are tracked but no unit group was quoted for it, so it is listed nearby</t>
        </is>
      </c>
    </row>
    <row r="360">
      <c r="A360" s="5" t="inlineStr">
        <is>
          <t>Luna Bear ARA Residences</t>
        </is>
      </c>
      <c r="B360" s="5" t="inlineStr">
        <is>
          <t>3220 N 38th St, Phoenix, AZ 85018</t>
        </is>
      </c>
      <c r="C360" s="10" t="n">
        <v>8.050000000000001</v>
      </c>
      <c r="D360" s="7" t="n">
        <v>50</v>
      </c>
      <c r="E360" s="5" t="inlineStr">
        <is>
          <t>bfr</t>
        </is>
      </c>
      <c r="F360" s="12" t="n"/>
      <c r="G360" s="5" t="inlineStr">
        <is>
          <t>different product: tracked as bfr, subject is MF</t>
        </is>
      </c>
    </row>
    <row r="361">
      <c r="A361" s="5" t="inlineStr">
        <is>
          <t>Lazo Apartments</t>
        </is>
      </c>
      <c r="B361" s="5" t="inlineStr">
        <is>
          <t>875 W Pecos Rd, Chandler, AZ 85225</t>
        </is>
      </c>
      <c r="C361" s="10" t="n">
        <v>8.07</v>
      </c>
      <c r="D361" s="7" t="n">
        <v>346</v>
      </c>
      <c r="E361" s="5" t="inlineStr">
        <is>
          <t>mf</t>
        </is>
      </c>
      <c r="F361" s="8" t="n">
        <v>2002</v>
      </c>
      <c r="G361" s="5" t="inlineStr">
        <is>
          <t>vintage 2002 is 21 years from the subject's 1981, outside the +/-10-year band</t>
        </is>
      </c>
    </row>
    <row r="362">
      <c r="A362" s="5" t="inlineStr">
        <is>
          <t>San Palacio</t>
        </is>
      </c>
      <c r="B362" s="5" t="inlineStr">
        <is>
          <t>2255 W Germann Rd, Chandler, AZ 85286</t>
        </is>
      </c>
      <c r="C362" s="10" t="n">
        <v>8.09</v>
      </c>
      <c r="D362" s="7" t="n">
        <v>352</v>
      </c>
      <c r="E362" s="5" t="inlineStr">
        <is>
          <t>mf</t>
        </is>
      </c>
      <c r="F362" s="8" t="n">
        <v>2006</v>
      </c>
      <c r="G362" s="5" t="inlineStr">
        <is>
          <t>vintage 2006 is 25 years from the subject's 1981, outside the +/-10-year band</t>
        </is>
      </c>
    </row>
    <row r="363">
      <c r="A363" s="5" t="inlineStr">
        <is>
          <t>Desert Palms Apartments</t>
        </is>
      </c>
      <c r="B363" s="5" t="inlineStr">
        <is>
          <t>210 E Brown Rd, Mesa, AZ 85201-3567</t>
        </is>
      </c>
      <c r="C363" s="10" t="n">
        <v>8.1</v>
      </c>
      <c r="D363" s="7" t="n">
        <v>96</v>
      </c>
      <c r="E363" s="5" t="inlineStr">
        <is>
          <t>mf</t>
        </is>
      </c>
      <c r="F363" s="8" t="n">
        <v>1995</v>
      </c>
      <c r="G363" s="5" t="inlineStr">
        <is>
          <t>excluded from comp sets by the tracker: income_restricted</t>
        </is>
      </c>
    </row>
    <row r="364">
      <c r="A364" s="5" t="inlineStr">
        <is>
          <t>Moxie</t>
        </is>
      </c>
      <c r="B364" s="5" t="inlineStr">
        <is>
          <t>1400 N Cooper Rd, Gilbert, AZ 85233</t>
        </is>
      </c>
      <c r="C364" s="10" t="n">
        <v>8.1</v>
      </c>
      <c r="D364" s="7" t="n">
        <v>205</v>
      </c>
      <c r="E364" s="5" t="inlineStr">
        <is>
          <t>mf</t>
        </is>
      </c>
      <c r="F364" s="8" t="n">
        <v>2024</v>
      </c>
      <c r="G364" s="5" t="inlineStr">
        <is>
          <t>vintage 2024 is 43 years from the subject's 1981, outside the +/-10-year band</t>
        </is>
      </c>
    </row>
    <row r="365">
      <c r="A365" s="5" t="inlineStr">
        <is>
          <t>The Governor</t>
        </is>
      </c>
      <c r="B365" s="5" t="inlineStr">
        <is>
          <t>1717 E McDowell Rd, Phoenix, AZ 85006</t>
        </is>
      </c>
      <c r="C365" s="10" t="n">
        <v>8.18</v>
      </c>
      <c r="D365" s="7" t="n">
        <v>176</v>
      </c>
      <c r="E365" s="5" t="inlineStr">
        <is>
          <t>mf</t>
        </is>
      </c>
      <c r="F365" s="8" t="n">
        <v>2025</v>
      </c>
      <c r="G365" s="5" t="inlineStr">
        <is>
          <t>vintage 2025 is 44 years from the subject's 1981, outside the +/-10-year band</t>
        </is>
      </c>
    </row>
    <row r="366">
      <c r="A366" s="5" t="inlineStr">
        <is>
          <t>Konrad</t>
        </is>
      </c>
      <c r="B366" s="5" t="inlineStr">
        <is>
          <t>901 E Van Buren St, Phoenix, AZ 85006</t>
        </is>
      </c>
      <c r="C366" s="10" t="n">
        <v>8.23</v>
      </c>
      <c r="D366" s="7" t="n">
        <v>332</v>
      </c>
      <c r="E366" s="5" t="inlineStr">
        <is>
          <t>mf</t>
        </is>
      </c>
      <c r="F366" s="8" t="n">
        <v>1999</v>
      </c>
      <c r="G366" s="5" t="inlineStr">
        <is>
          <t>vintage 1999 is 18 years from the subject's 1981, outside the +/-10-year band</t>
        </is>
      </c>
    </row>
    <row r="367">
      <c r="A367" s="5" t="inlineStr">
        <is>
          <t>Emory Old Town</t>
        </is>
      </c>
      <c r="B367" s="5" t="inlineStr">
        <is>
          <t>4111 N Drinkwater Blvd, Scottsdale, AZ 85251-3647</t>
        </is>
      </c>
      <c r="C367" s="10" t="n">
        <v>8.27</v>
      </c>
      <c r="D367" s="7" t="n">
        <v>252</v>
      </c>
      <c r="E367" s="5" t="inlineStr">
        <is>
          <t>mf</t>
        </is>
      </c>
      <c r="F367" s="8" t="n">
        <v>2000</v>
      </c>
      <c r="G367" s="5" t="inlineStr">
        <is>
          <t>vintage 2000 is 19 years from the subject's 1981, outside the +/-10-year band</t>
        </is>
      </c>
    </row>
    <row r="368">
      <c r="A368" s="5" t="inlineStr">
        <is>
          <t>Indigo Springs</t>
        </is>
      </c>
      <c r="B368" s="5" t="inlineStr">
        <is>
          <t>1464 S Stapley Dr, Mesa, AZ 85204</t>
        </is>
      </c>
      <c r="C368" s="10" t="n">
        <v>8.279999999999999</v>
      </c>
      <c r="D368" s="7" t="n">
        <v>240</v>
      </c>
      <c r="E368" s="5" t="inlineStr">
        <is>
          <t>mf</t>
        </is>
      </c>
      <c r="F368" s="8" t="n">
        <v>1999</v>
      </c>
      <c r="G368" s="5" t="inlineStr">
        <is>
          <t>vintage 1999 is 18 years from the subject's 1981, outside the +/-10-year band</t>
        </is>
      </c>
    </row>
    <row r="369">
      <c r="A369" s="5" t="inlineStr">
        <is>
          <t>The Battery PHX</t>
        </is>
      </c>
      <c r="B369" s="5" t="inlineStr">
        <is>
          <t>411 S 3rd St, Phoenix, AZ 85004</t>
        </is>
      </c>
      <c r="C369" s="10" t="n">
        <v>8.289999999999999</v>
      </c>
      <c r="D369" s="7" t="n">
        <v>278</v>
      </c>
      <c r="E369" s="5" t="inlineStr">
        <is>
          <t>mf</t>
        </is>
      </c>
      <c r="F369" s="8" t="n">
        <v>2022</v>
      </c>
      <c r="G369" s="5" t="inlineStr">
        <is>
          <t>vintage 2022 is 41 years from the subject's 1981, outside the +/-10-year band</t>
        </is>
      </c>
    </row>
    <row r="370">
      <c r="A370" s="5" t="inlineStr">
        <is>
          <t>Montage at Pecos Ranch</t>
        </is>
      </c>
      <c r="B370" s="5" t="inlineStr">
        <is>
          <t>1616 W Germann Rd, Chandler, AZ 85286</t>
        </is>
      </c>
      <c r="C370" s="10" t="n">
        <v>8.300000000000001</v>
      </c>
      <c r="D370" s="7" t="n">
        <v>258</v>
      </c>
      <c r="E370" s="5" t="inlineStr">
        <is>
          <t>mf</t>
        </is>
      </c>
      <c r="F370" s="8" t="n">
        <v>2000</v>
      </c>
      <c r="G370" s="5" t="inlineStr">
        <is>
          <t>vintage 2000 is 19 years from the subject's 1981, outside the +/-10-year band</t>
        </is>
      </c>
    </row>
    <row r="371">
      <c r="A371" s="5" t="inlineStr">
        <is>
          <t>Vive</t>
        </is>
      </c>
      <c r="B371" s="5" t="inlineStr">
        <is>
          <t>1901 W Germann Rd, Chandler, AZ 85286</t>
        </is>
      </c>
      <c r="C371" s="10" t="n">
        <v>8.32</v>
      </c>
      <c r="D371" s="7" t="n">
        <v>194</v>
      </c>
      <c r="E371" s="5" t="inlineStr">
        <is>
          <t>mf</t>
        </is>
      </c>
      <c r="F371" s="8" t="n">
        <v>2014</v>
      </c>
      <c r="G371" s="5" t="inlineStr">
        <is>
          <t>vintage 2014 is 33 years from the subject's 1981, outside the +/-10-year band</t>
        </is>
      </c>
    </row>
    <row r="372">
      <c r="A372" s="5" t="inlineStr">
        <is>
          <t>Encore Novo</t>
        </is>
      </c>
      <c r="B372" s="5" t="inlineStr">
        <is>
          <t>333 E Commonwealth Ave, Chandler, AZ 85225</t>
        </is>
      </c>
      <c r="C372" s="10" t="n">
        <v>8.33</v>
      </c>
      <c r="D372" s="7" t="n">
        <v>208</v>
      </c>
      <c r="E372" s="5" t="inlineStr">
        <is>
          <t>mf</t>
        </is>
      </c>
      <c r="F372" s="8" t="n">
        <v>2024</v>
      </c>
      <c r="G372" s="5" t="inlineStr">
        <is>
          <t>vintage 2024 is 43 years from the subject's 1981, outside the +/-10-year band</t>
        </is>
      </c>
    </row>
    <row r="373">
      <c r="A373" s="5" t="inlineStr">
        <is>
          <t>Woodstream Village Apartments</t>
        </is>
      </c>
      <c r="B373" s="5" t="inlineStr">
        <is>
          <t>1230 N Mesa Dr, Mesa, AZ 85201</t>
        </is>
      </c>
      <c r="C373" s="10" t="n">
        <v>8.34</v>
      </c>
      <c r="D373" s="7" t="n">
        <v>156</v>
      </c>
      <c r="E373" s="5" t="inlineStr">
        <is>
          <t>mf</t>
        </is>
      </c>
      <c r="F373" s="8" t="n">
        <v>1982</v>
      </c>
      <c r="G373" s="5" t="inlineStr">
        <is>
          <t>outside the service's preselection of 20: its rents are tracked but no unit group was quoted for it, so it is listed nearby</t>
        </is>
      </c>
    </row>
    <row r="374">
      <c r="A374" s="5" t="inlineStr">
        <is>
          <t>Ingleside Apartments</t>
        </is>
      </c>
      <c r="B374" s="5" t="inlineStr">
        <is>
          <t>4502 E Indian School Rd, Phoenix, AZ 85018</t>
        </is>
      </c>
      <c r="C374" s="10" t="n">
        <v>8.380000000000001</v>
      </c>
      <c r="D374" s="7" t="n">
        <v>120</v>
      </c>
      <c r="E374" s="5" t="inlineStr">
        <is>
          <t>mf</t>
        </is>
      </c>
      <c r="F374" s="8" t="n">
        <v>1995</v>
      </c>
      <c r="G374" s="5" t="inlineStr">
        <is>
          <t>vintage 1995 is 14 years from the subject's 1981, outside the +/-10-year band</t>
        </is>
      </c>
    </row>
    <row r="375">
      <c r="A375" s="5" t="inlineStr">
        <is>
          <t>San Marin At The Civic Center</t>
        </is>
      </c>
      <c r="B375" s="5" t="inlineStr">
        <is>
          <t>4215 N Drinkwater Blvd, Scottsdale, AZ 85251</t>
        </is>
      </c>
      <c r="C375" s="10" t="n">
        <v>8.390000000000001</v>
      </c>
      <c r="D375" s="7" t="n">
        <v>276</v>
      </c>
      <c r="E375" s="5" t="inlineStr">
        <is>
          <t>mf</t>
        </is>
      </c>
      <c r="F375" s="8" t="n">
        <v>1992</v>
      </c>
      <c r="G375" s="5" t="inlineStr">
        <is>
          <t>vintage 1992 is 11 years from the subject's 1981, outside the +/-10-year band</t>
        </is>
      </c>
    </row>
    <row r="376">
      <c r="A376" s="5" t="inlineStr">
        <is>
          <t>4127 Arcadia</t>
        </is>
      </c>
      <c r="B376" s="5" t="inlineStr">
        <is>
          <t>4127 E Indian School Rd, Phoenix, AZ 85018-5364</t>
        </is>
      </c>
      <c r="C376" s="10" t="n">
        <v>8.4</v>
      </c>
      <c r="D376" s="7" t="n">
        <v>258</v>
      </c>
      <c r="E376" s="5" t="inlineStr">
        <is>
          <t>mf</t>
        </is>
      </c>
      <c r="F376" s="8" t="n">
        <v>1970</v>
      </c>
      <c r="G376" s="5" t="inlineStr">
        <is>
          <t>vintage 1970 is 11 years from the subject's 1981, outside the +/-10-year band</t>
        </is>
      </c>
    </row>
    <row r="377">
      <c r="A377" s="5" t="inlineStr">
        <is>
          <t>Glen at Mesa</t>
        </is>
      </c>
      <c r="B377" s="5" t="inlineStr">
        <is>
          <t>1233 N Mesa Dr, Mesa, AZ 85201</t>
        </is>
      </c>
      <c r="C377" s="10" t="n">
        <v>8.4</v>
      </c>
      <c r="D377" s="7" t="n">
        <v>406</v>
      </c>
      <c r="E377" s="5" t="inlineStr">
        <is>
          <t>mf</t>
        </is>
      </c>
      <c r="F377" s="8" t="n">
        <v>1985</v>
      </c>
      <c r="G377" s="5" t="inlineStr">
        <is>
          <t>outside the service's preselection of 20: its rents are tracked but no unit group was quoted for it, so it is listed nearby</t>
        </is>
      </c>
    </row>
    <row r="378">
      <c r="A378" s="5" t="inlineStr">
        <is>
          <t>Stonebridge Ranch Apartments</t>
        </is>
      </c>
      <c r="B378" s="5" t="inlineStr">
        <is>
          <t>575 W Pecos Rd, Chandler, AZ 85225-7402</t>
        </is>
      </c>
      <c r="C378" s="10" t="n">
        <v>8.4</v>
      </c>
      <c r="D378" s="7" t="n">
        <v>392</v>
      </c>
      <c r="E378" s="5" t="inlineStr">
        <is>
          <t>mf</t>
        </is>
      </c>
      <c r="F378" s="8" t="n">
        <v>2002</v>
      </c>
      <c r="G378" s="5" t="inlineStr">
        <is>
          <t>vintage 2002 is 21 years from the subject's 1981, outside the +/-10-year band</t>
        </is>
      </c>
    </row>
    <row r="379">
      <c r="A379" s="5" t="inlineStr">
        <is>
          <t>Olympus Steelyard</t>
        </is>
      </c>
      <c r="B379" s="5" t="inlineStr">
        <is>
          <t>155 E Frye Rd, Chandler, AZ 85225-9551</t>
        </is>
      </c>
      <c r="C379" s="10" t="n">
        <v>8.41</v>
      </c>
      <c r="D379" s="7" t="n">
        <v>301</v>
      </c>
      <c r="E379" s="5" t="inlineStr">
        <is>
          <t>mf</t>
        </is>
      </c>
      <c r="F379" s="8" t="n">
        <v>2015</v>
      </c>
      <c r="G379" s="5" t="inlineStr">
        <is>
          <t>vintage 2015 is 34 years from the subject's 1981, outside the +/-10-year band</t>
        </is>
      </c>
    </row>
    <row r="380">
      <c r="A380" s="5" t="inlineStr">
        <is>
          <t>Oasis at Scottsdale</t>
        </is>
      </c>
      <c r="B380" s="5" t="inlineStr">
        <is>
          <t>4140 N 78th St, Scottsdale, AZ 85251-4136</t>
        </is>
      </c>
      <c r="C380" s="10" t="n">
        <v>8.449999999999999</v>
      </c>
      <c r="D380" s="7" t="n">
        <v>244</v>
      </c>
      <c r="E380" s="5" t="inlineStr">
        <is>
          <t>mf</t>
        </is>
      </c>
      <c r="F380" s="8" t="n">
        <v>1971</v>
      </c>
      <c r="G380" s="5" t="inlineStr">
        <is>
          <t>outside the service's preselection of 20: its rents are tracked but no unit group was quoted for it, so it is listed nearby</t>
        </is>
      </c>
    </row>
    <row r="381">
      <c r="A381" s="5" t="inlineStr">
        <is>
          <t>Chandler Village Apartments</t>
        </is>
      </c>
      <c r="B381" s="5" t="inlineStr">
        <is>
          <t>598 N McQueen Rd, Chandler, AZ 85225-4759</t>
        </is>
      </c>
      <c r="C381" s="10" t="n">
        <v>8.460000000000001</v>
      </c>
      <c r="D381" s="7" t="n">
        <v>127</v>
      </c>
      <c r="E381" s="5" t="inlineStr">
        <is>
          <t>mf</t>
        </is>
      </c>
      <c r="F381" s="8" t="n">
        <v>1972</v>
      </c>
      <c r="G381" s="5" t="inlineStr">
        <is>
          <t>excluded from comp sets by the tracker: income_restricted</t>
        </is>
      </c>
    </row>
    <row r="382">
      <c r="A382" s="5" t="inlineStr">
        <is>
          <t>Broadstone Waterfront</t>
        </is>
      </c>
      <c r="B382" s="5" t="inlineStr">
        <is>
          <t>7025 E Via Soleri Dr, Scottsdale, AZ 85251-1267</t>
        </is>
      </c>
      <c r="C382" s="10" t="n">
        <v>8.470000000000001</v>
      </c>
      <c r="D382" s="7" t="n">
        <v>259</v>
      </c>
      <c r="E382" s="5" t="inlineStr">
        <is>
          <t>mf</t>
        </is>
      </c>
      <c r="F382" s="8" t="n">
        <v>2015</v>
      </c>
      <c r="G382" s="5" t="inlineStr">
        <is>
          <t>vintage 2015 is 34 years from the subject's 1981, outside the +/-10-year band</t>
        </is>
      </c>
    </row>
    <row r="383">
      <c r="A383" s="5" t="inlineStr">
        <is>
          <t>The Laurel Apartments</t>
        </is>
      </c>
      <c r="B383" s="5" t="inlineStr">
        <is>
          <t>800 W Willis Rd, Chandler, AZ 85286</t>
        </is>
      </c>
      <c r="C383" s="10" t="n">
        <v>8.470000000000001</v>
      </c>
      <c r="D383" s="7" t="n">
        <v>383</v>
      </c>
      <c r="E383" s="5" t="inlineStr">
        <is>
          <t>mf</t>
        </is>
      </c>
      <c r="F383" s="8" t="n">
        <v>2013</v>
      </c>
      <c r="G383" s="5" t="inlineStr">
        <is>
          <t>vintage 2013 is 32 years from the subject's 1981, outside the +/-10-year band</t>
        </is>
      </c>
    </row>
    <row r="384">
      <c r="A384" s="5" t="inlineStr">
        <is>
          <t>Artisan at Downtown Chandler</t>
        </is>
      </c>
      <c r="B384" s="5" t="inlineStr">
        <is>
          <t>868 S Arizona Ave, Chandler, AZ 85225</t>
        </is>
      </c>
      <c r="C384" s="10" t="n">
        <v>8.48</v>
      </c>
      <c r="D384" s="7" t="n">
        <v>374</v>
      </c>
      <c r="E384" s="5" t="inlineStr">
        <is>
          <t>mf</t>
        </is>
      </c>
      <c r="F384" s="8" t="n">
        <v>1985</v>
      </c>
      <c r="G384" s="5" t="inlineStr">
        <is>
          <t>outside the service's preselection of 20: its rents are tracked but no unit group was quoted for it, so it is listed nearby</t>
        </is>
      </c>
    </row>
    <row r="385">
      <c r="A385" s="5" t="inlineStr">
        <is>
          <t>Adeline</t>
        </is>
      </c>
      <c r="B385" s="5" t="inlineStr">
        <is>
          <t>222 E Jefferson St, Phoenix, AZ 85004</t>
        </is>
      </c>
      <c r="C385" s="10" t="n">
        <v>8.49</v>
      </c>
      <c r="D385" s="7" t="n">
        <v>379</v>
      </c>
      <c r="E385" s="5" t="inlineStr">
        <is>
          <t>mf</t>
        </is>
      </c>
      <c r="F385" s="8" t="n">
        <v>2021</v>
      </c>
      <c r="G385" s="5" t="inlineStr">
        <is>
          <t>vintage 2021 is 40 years from the subject's 1981, outside the +/-10-year band</t>
        </is>
      </c>
    </row>
    <row r="386">
      <c r="A386" s="5" t="inlineStr">
        <is>
          <t>Palmtower Residences</t>
        </is>
      </c>
      <c r="B386" s="5" t="inlineStr">
        <is>
          <t>440 E Van Buren St, Phoenix, AZ 85004-2232</t>
        </is>
      </c>
      <c r="C386" s="10" t="n">
        <v>8.550000000000001</v>
      </c>
      <c r="D386" s="7" t="n">
        <v>352</v>
      </c>
      <c r="E386" s="5" t="inlineStr">
        <is>
          <t>mf</t>
        </is>
      </c>
      <c r="F386" s="8" t="n">
        <v>2024</v>
      </c>
      <c r="G386" s="5" t="inlineStr">
        <is>
          <t>vintage 2024 is 43 years from the subject's 1981, outside the +/-10-year band</t>
        </is>
      </c>
    </row>
    <row r="387">
      <c r="A387" s="5" t="inlineStr">
        <is>
          <t>Camden Old Town Scottsdale</t>
        </is>
      </c>
      <c r="B387" s="5" t="inlineStr">
        <is>
          <t>7350 E Stetson Dr, Scottsdale, AZ 85251-3432</t>
        </is>
      </c>
      <c r="C387" s="10" t="n">
        <v>8.56</v>
      </c>
      <c r="D387" s="7" t="n">
        <v>316</v>
      </c>
      <c r="E387" s="5" t="inlineStr">
        <is>
          <t>mf</t>
        </is>
      </c>
      <c r="F387" s="8" t="n">
        <v>2015</v>
      </c>
      <c r="G387" s="5" t="inlineStr">
        <is>
          <t>vintage 2015 is 34 years from the subject's 1981, outside the +/-10-year band</t>
        </is>
      </c>
    </row>
    <row r="388">
      <c r="A388" s="5" t="inlineStr">
        <is>
          <t>Luxe Scottsdale</t>
        </is>
      </c>
      <c r="B388" s="5" t="inlineStr">
        <is>
          <t>8444 E Indian School Rd, Scottsdale, AZ 85251</t>
        </is>
      </c>
      <c r="C388" s="10" t="n">
        <v>8.59</v>
      </c>
      <c r="D388" s="7" t="n">
        <v>218</v>
      </c>
      <c r="E388" s="5" t="inlineStr">
        <is>
          <t>mf</t>
        </is>
      </c>
      <c r="F388" s="8" t="n">
        <v>2015</v>
      </c>
      <c r="G388" s="5" t="inlineStr">
        <is>
          <t>vintage 2015 is 34 years from the subject's 1981, outside the +/-10-year band</t>
        </is>
      </c>
    </row>
    <row r="389">
      <c r="A389" s="5" t="inlineStr">
        <is>
          <t>Optima Sonoran Village</t>
        </is>
      </c>
      <c r="B389" s="5" t="inlineStr">
        <is>
          <t>6895 E Camelback Rd, Scottsdale, AZ 85251</t>
        </is>
      </c>
      <c r="C389" s="10" t="n">
        <v>8.59</v>
      </c>
      <c r="D389" s="7" t="n">
        <v>811</v>
      </c>
      <c r="E389" s="5" t="inlineStr">
        <is>
          <t>mf</t>
        </is>
      </c>
      <c r="F389" s="8" t="n">
        <v>2014</v>
      </c>
      <c r="G389" s="5" t="inlineStr">
        <is>
          <t>vintage 2014 is 33 years from the subject's 1981, outside the +/-10-year band</t>
        </is>
      </c>
    </row>
    <row r="390">
      <c r="A390" s="5" t="inlineStr">
        <is>
          <t>Amara Apartments</t>
        </is>
      </c>
      <c r="B390" s="5" t="inlineStr">
        <is>
          <t>2928 E Osborn Rd, Phoenix, AZ 85016-7055</t>
        </is>
      </c>
      <c r="C390" s="10" t="n">
        <v>8.619999999999999</v>
      </c>
      <c r="D390" s="7" t="n">
        <v>302</v>
      </c>
      <c r="E390" s="5" t="inlineStr">
        <is>
          <t>mf</t>
        </is>
      </c>
      <c r="F390" s="8" t="n">
        <v>1971</v>
      </c>
      <c r="G390" s="5" t="inlineStr">
        <is>
          <t>outside the service's preselection of 20: its rents are tracked but no unit group was quoted for it, so it is listed nearby</t>
        </is>
      </c>
    </row>
    <row r="391">
      <c r="A391" s="5" t="inlineStr">
        <is>
          <t>CityScape Residences</t>
        </is>
      </c>
      <c r="B391" s="5" t="inlineStr">
        <is>
          <t>11 S Central Ave, Phoenix, AZ 85004-2306</t>
        </is>
      </c>
      <c r="C391" s="10" t="n">
        <v>8.619999999999999</v>
      </c>
      <c r="D391" s="7" t="n">
        <v>224</v>
      </c>
      <c r="E391" s="5" t="inlineStr">
        <is>
          <t>mf</t>
        </is>
      </c>
      <c r="F391" s="8" t="n">
        <v>2014</v>
      </c>
      <c r="G391" s="5" t="inlineStr">
        <is>
          <t>vintage 2014 is 33 years from the subject's 1981, outside the +/-10-year band</t>
        </is>
      </c>
    </row>
    <row r="392">
      <c r="A392" s="5" t="inlineStr">
        <is>
          <t>Greentree Place Apartments</t>
        </is>
      </c>
      <c r="B392" s="5" t="inlineStr">
        <is>
          <t>250 S Elizabeth Cir, Chandler, AZ 85225-5687</t>
        </is>
      </c>
      <c r="C392" s="10" t="n">
        <v>8.619999999999999</v>
      </c>
      <c r="D392" s="7" t="n">
        <v>256</v>
      </c>
      <c r="E392" s="5" t="inlineStr">
        <is>
          <t>mf</t>
        </is>
      </c>
      <c r="F392" s="8" t="n">
        <v>1986</v>
      </c>
      <c r="G392" s="5" t="inlineStr">
        <is>
          <t>outside the service's preselection of 20: its rents are tracked but no unit group was quoted for it, so it is listed nearby</t>
        </is>
      </c>
    </row>
    <row r="393">
      <c r="A393" s="5" t="inlineStr">
        <is>
          <t>The Glen at Oldtown</t>
        </is>
      </c>
      <c r="B393" s="5" t="inlineStr">
        <is>
          <t>7979 E Camelback Rd, Scottsdale, AZ 85251-2601</t>
        </is>
      </c>
      <c r="C393" s="10" t="n">
        <v>8.67</v>
      </c>
      <c r="D393" s="7" t="n">
        <v>278</v>
      </c>
      <c r="E393" s="5" t="inlineStr">
        <is>
          <t>mf</t>
        </is>
      </c>
      <c r="F393" s="8" t="n">
        <v>1973</v>
      </c>
      <c r="G393" s="5" t="inlineStr">
        <is>
          <t>outside the service's preselection of 20: its rents are tracked but no unit group was quoted for it, so it is listed nearby</t>
        </is>
      </c>
    </row>
    <row r="394">
      <c r="A394" s="5" t="inlineStr">
        <is>
          <t>Colonia Del Sol Apartments</t>
        </is>
      </c>
      <c r="B394" s="5" t="inlineStr">
        <is>
          <t>5405 S 19th Ave, Phoenix, AZ 85041</t>
        </is>
      </c>
      <c r="C394" s="10" t="n">
        <v>8.75</v>
      </c>
      <c r="D394" s="7" t="n">
        <v>144</v>
      </c>
      <c r="E394" s="5" t="inlineStr">
        <is>
          <t>mf</t>
        </is>
      </c>
      <c r="F394" s="8" t="n">
        <v>2004</v>
      </c>
      <c r="G394" s="5" t="inlineStr">
        <is>
          <t>vintage 2004 is 23 years from the subject's 1981, outside the +/-10-year band</t>
        </is>
      </c>
    </row>
    <row r="395">
      <c r="A395" s="5" t="inlineStr">
        <is>
          <t>Radius</t>
        </is>
      </c>
      <c r="B395" s="5" t="inlineStr">
        <is>
          <t>2925 N Greenfield Rd, Phoenix, AZ 85016</t>
        </is>
      </c>
      <c r="C395" s="10" t="n">
        <v>8.75</v>
      </c>
      <c r="D395" s="7" t="n">
        <v>130</v>
      </c>
      <c r="E395" s="5" t="inlineStr">
        <is>
          <t>mf</t>
        </is>
      </c>
      <c r="F395" s="8" t="n">
        <v>1970</v>
      </c>
      <c r="G395" s="5" t="inlineStr">
        <is>
          <t>vintage 1970 is 11 years from the subject's 1981, outside the +/-10-year band</t>
        </is>
      </c>
    </row>
    <row r="396">
      <c r="A396" s="5" t="inlineStr">
        <is>
          <t>Skyline Lofts Apartment Homes</t>
        </is>
      </c>
      <c r="B396" s="5" t="inlineStr">
        <is>
          <t>600 N 4th St, Phoenix, AZ 85004</t>
        </is>
      </c>
      <c r="C396" s="10" t="n">
        <v>8.75</v>
      </c>
      <c r="D396" s="7" t="n">
        <v>332</v>
      </c>
      <c r="E396" s="5" t="inlineStr">
        <is>
          <t>mf</t>
        </is>
      </c>
      <c r="F396" s="8" t="n">
        <v>2009</v>
      </c>
      <c r="G396" s="5" t="inlineStr">
        <is>
          <t>vintage 2009 is 28 years from the subject's 1981, outside the +/-10-year band</t>
        </is>
      </c>
    </row>
    <row r="397">
      <c r="A397" s="5" t="inlineStr">
        <is>
          <t>Joy on 4th</t>
        </is>
      </c>
      <c r="B397" s="5" t="inlineStr">
        <is>
          <t>700 N 4th St, Phoenix, AZ 85004</t>
        </is>
      </c>
      <c r="C397" s="10" t="n">
        <v>8.77</v>
      </c>
      <c r="D397" s="7" t="n">
        <v>234</v>
      </c>
      <c r="E397" s="5" t="inlineStr">
        <is>
          <t>mf</t>
        </is>
      </c>
      <c r="F397" s="8" t="n">
        <v>2021</v>
      </c>
      <c r="G397" s="5" t="inlineStr">
        <is>
          <t>vintage 2021 is 40 years from the subject's 1981, outside the +/-10-year band</t>
        </is>
      </c>
    </row>
    <row r="398">
      <c r="A398" s="5" t="inlineStr">
        <is>
          <t>Proxy 333</t>
        </is>
      </c>
      <c r="B398" s="5" t="inlineStr">
        <is>
          <t>333 E McKinley St, Phoenix, AZ 85004-2008</t>
        </is>
      </c>
      <c r="C398" s="10" t="n">
        <v>8.779999999999999</v>
      </c>
      <c r="D398" s="7" t="n">
        <v>118</v>
      </c>
      <c r="E398" s="5" t="inlineStr">
        <is>
          <t>mf</t>
        </is>
      </c>
      <c r="F398" s="8" t="n">
        <v>2016</v>
      </c>
      <c r="G398" s="5" t="inlineStr">
        <is>
          <t>vintage 2016 is 35 years from the subject's 1981, outside the +/-10-year band</t>
        </is>
      </c>
    </row>
    <row r="399">
      <c r="A399" s="5" t="inlineStr">
        <is>
          <t>The Cortesian Apartments</t>
        </is>
      </c>
      <c r="B399" s="5" t="inlineStr">
        <is>
          <t>7749 E Camelback Rd, Scottsdale, AZ 85251</t>
        </is>
      </c>
      <c r="C399" s="10" t="n">
        <v>8.789999999999999</v>
      </c>
      <c r="D399" s="7" t="n">
        <v>332</v>
      </c>
      <c r="E399" s="5" t="inlineStr">
        <is>
          <t>mf</t>
        </is>
      </c>
      <c r="F399" s="8" t="n">
        <v>1971</v>
      </c>
      <c r="G399" s="5" t="inlineStr">
        <is>
          <t>outside the service's preselection of 20: its rents are tracked but no unit group was quoted for it, so it is listed nearby</t>
        </is>
      </c>
    </row>
    <row r="400">
      <c r="A400" s="5" t="inlineStr">
        <is>
          <t>Visconti at Camelback</t>
        </is>
      </c>
      <c r="B400" s="5" t="inlineStr">
        <is>
          <t>7979 E Camelback Rd, Scottsdale, AZ 85251-2601</t>
        </is>
      </c>
      <c r="C400" s="10" t="n">
        <v>8.789999999999999</v>
      </c>
      <c r="D400" s="7" t="n">
        <v>348</v>
      </c>
      <c r="E400" s="5" t="inlineStr">
        <is>
          <t>mf</t>
        </is>
      </c>
      <c r="F400" s="8" t="n">
        <v>1979</v>
      </c>
      <c r="G400" s="5" t="inlineStr">
        <is>
          <t>outside the service's preselection of 20: its rents are tracked but no unit group was quoted for it, so it is listed nearby</t>
        </is>
      </c>
    </row>
    <row r="401">
      <c r="A401" s="5" t="inlineStr">
        <is>
          <t>The Met at 3rd and Fillmore</t>
        </is>
      </c>
      <c r="B401" s="5" t="inlineStr">
        <is>
          <t>200 E Fillmore St, Phoenix, AZ 85004-2103</t>
        </is>
      </c>
      <c r="C401" s="10" t="n">
        <v>8.800000000000001</v>
      </c>
      <c r="D401" s="7" t="n">
        <v>140</v>
      </c>
      <c r="E401" s="5" t="inlineStr">
        <is>
          <t>mf</t>
        </is>
      </c>
      <c r="F401" s="8" t="n">
        <v>1996</v>
      </c>
      <c r="G401" s="5" t="inlineStr">
        <is>
          <t>vintage 1996 is 15 years from the subject's 1981, outside the +/-10-year band</t>
        </is>
      </c>
    </row>
    <row r="402">
      <c r="A402" s="5" t="inlineStr">
        <is>
          <t>44Monroe</t>
        </is>
      </c>
      <c r="B402" s="5" t="inlineStr">
        <is>
          <t>44 W Monroe St, Phoenix, AZ 85003</t>
        </is>
      </c>
      <c r="C402" s="10" t="n">
        <v>8.82</v>
      </c>
      <c r="D402" s="7" t="n">
        <v>198</v>
      </c>
      <c r="E402" s="5" t="inlineStr">
        <is>
          <t>mf</t>
        </is>
      </c>
      <c r="F402" s="8" t="n">
        <v>2008</v>
      </c>
      <c r="G402" s="5" t="inlineStr">
        <is>
          <t>vintage 2008 is 27 years from the subject's 1981, outside the +/-10-year band</t>
        </is>
      </c>
    </row>
    <row r="403">
      <c r="A403" s="5" t="inlineStr">
        <is>
          <t>Vista Ridge Apartments</t>
        </is>
      </c>
      <c r="B403" s="5" t="inlineStr">
        <is>
          <t>2050 W Southern Ave, Phoenix, AZ 85041</t>
        </is>
      </c>
      <c r="C403" s="10" t="n">
        <v>8.83</v>
      </c>
      <c r="D403" s="7" t="n">
        <v>308</v>
      </c>
      <c r="E403" s="5" t="inlineStr">
        <is>
          <t>mf</t>
        </is>
      </c>
      <c r="F403" s="8" t="n">
        <v>2022</v>
      </c>
      <c r="G403" s="5" t="inlineStr">
        <is>
          <t>vintage 2022 is 41 years from the subject's 1981, outside the +/-10-year band</t>
        </is>
      </c>
    </row>
    <row r="404">
      <c r="A404" s="5" t="inlineStr">
        <is>
          <t>Moontower Phoenix</t>
        </is>
      </c>
      <c r="B404" s="5" t="inlineStr">
        <is>
          <t>811 N 3rd St, Phoenix, AZ 85004-2021</t>
        </is>
      </c>
      <c r="C404" s="10" t="n">
        <v>8.84</v>
      </c>
      <c r="D404" s="7" t="n">
        <v>326</v>
      </c>
      <c r="E404" s="5" t="inlineStr">
        <is>
          <t>mf</t>
        </is>
      </c>
      <c r="F404" s="8" t="n">
        <v>2023</v>
      </c>
      <c r="G404" s="5" t="inlineStr">
        <is>
          <t>vintage 2023 is 42 years from the subject's 1981, outside the +/-10-year band</t>
        </is>
      </c>
    </row>
    <row r="405">
      <c r="A405" s="5" t="inlineStr">
        <is>
          <t>Trails at Harris</t>
        </is>
      </c>
      <c r="B405" s="5" t="inlineStr">
        <is>
          <t>1653 S Harris Dr, Mesa, AZ 85204</t>
        </is>
      </c>
      <c r="C405" s="10" t="n">
        <v>8.84</v>
      </c>
      <c r="D405" s="7" t="n">
        <v>209</v>
      </c>
      <c r="E405" s="5" t="inlineStr">
        <is>
          <t>mf</t>
        </is>
      </c>
      <c r="F405" s="8" t="n">
        <v>1983</v>
      </c>
      <c r="G405" s="5" t="inlineStr">
        <is>
          <t>outside the service's preselection of 20: its rents are tracked but no unit group was quoted for it, so it is listed nearby</t>
        </is>
      </c>
    </row>
    <row r="406">
      <c r="A406" s="5" t="inlineStr">
        <is>
          <t>Brix Warehouse District</t>
        </is>
      </c>
      <c r="B406" s="5" t="inlineStr">
        <is>
          <t>402 W Lincoln St, Phoenix, AZ 85003</t>
        </is>
      </c>
      <c r="C406" s="10" t="n">
        <v>8.85</v>
      </c>
      <c r="D406" s="7" t="n">
        <v>300</v>
      </c>
      <c r="E406" s="5" t="inlineStr">
        <is>
          <t>mf</t>
        </is>
      </c>
      <c r="F406" s="8" t="n">
        <v>2022</v>
      </c>
      <c r="G406" s="5" t="inlineStr">
        <is>
          <t>vintage 2022 is 41 years from the subject's 1981, outside the +/-10-year band</t>
        </is>
      </c>
    </row>
    <row r="407">
      <c r="A407" s="5" t="inlineStr">
        <is>
          <t>Matthew Henson Apartments</t>
        </is>
      </c>
      <c r="B407" s="5" t="inlineStr">
        <is>
          <t>840 W Tonto St, Phoenix, AZ 85007</t>
        </is>
      </c>
      <c r="C407" s="10" t="n">
        <v>8.85</v>
      </c>
      <c r="D407" s="7" t="n">
        <v>420</v>
      </c>
      <c r="E407" s="5" t="inlineStr">
        <is>
          <t>mf</t>
        </is>
      </c>
      <c r="F407" s="8" t="n">
        <v>1995</v>
      </c>
      <c r="G407" s="5" t="inlineStr">
        <is>
          <t>excluded from comp sets by the tracker: income_restricted</t>
        </is>
      </c>
    </row>
    <row r="408">
      <c r="A408" s="5" t="inlineStr">
        <is>
          <t>The Maeve Central Station</t>
        </is>
      </c>
      <c r="B408" s="5" t="inlineStr">
        <is>
          <t>50 W Van Buren St, Phoenix, AZ 85004-2111</t>
        </is>
      </c>
      <c r="C408" s="10" t="n">
        <v>8.85</v>
      </c>
      <c r="D408" s="7" t="n">
        <v>338</v>
      </c>
      <c r="E408" s="5" t="inlineStr">
        <is>
          <t>mf</t>
        </is>
      </c>
      <c r="F408" s="8" t="n">
        <v>2025</v>
      </c>
      <c r="G408" s="5" t="inlineStr">
        <is>
          <t>vintage 2025 is 44 years from the subject's 1981, outside the +/-10-year band</t>
        </is>
      </c>
    </row>
    <row r="409">
      <c r="A409" s="5" t="inlineStr">
        <is>
          <t>Villas on McQueen</t>
        </is>
      </c>
      <c r="B409" s="5" t="inlineStr">
        <is>
          <t>77 N McQueen Rd, Chandler, AZ 85225</t>
        </is>
      </c>
      <c r="C409" s="10" t="n">
        <v>8.85</v>
      </c>
      <c r="D409" s="7" t="n">
        <v>157</v>
      </c>
      <c r="E409" s="5" t="inlineStr">
        <is>
          <t>mf</t>
        </is>
      </c>
      <c r="F409" s="8" t="n">
        <v>2026</v>
      </c>
      <c r="G409" s="5" t="inlineStr">
        <is>
          <t>excluded from comp sets by the tracker: income_restricted</t>
        </is>
      </c>
    </row>
    <row r="410">
      <c r="A410" s="5" t="inlineStr">
        <is>
          <t>Roosevelt Row</t>
        </is>
      </c>
      <c r="B410" s="5" t="inlineStr">
        <is>
          <t>330 E Roosevelt St, Phoenix, AZ 85004</t>
        </is>
      </c>
      <c r="C410" s="10" t="n">
        <v>8.859999999999999</v>
      </c>
      <c r="D410" s="7" t="n">
        <v>316</v>
      </c>
      <c r="E410" s="5" t="inlineStr">
        <is>
          <t>mf</t>
        </is>
      </c>
      <c r="F410" s="8" t="n">
        <v>2018</v>
      </c>
      <c r="G410" s="5" t="inlineStr">
        <is>
          <t>vintage 2018 is 37 years from the subject's 1981, outside the +/-10-year band</t>
        </is>
      </c>
    </row>
    <row r="411">
      <c r="A411" s="5" t="inlineStr">
        <is>
          <t>The Monde Scottsdale</t>
        </is>
      </c>
      <c r="B411" s="5" t="inlineStr">
        <is>
          <t>4624 N 73rd St, Scottsdale, AZ 85251-1408</t>
        </is>
      </c>
      <c r="C411" s="10" t="n">
        <v>8.859999999999999</v>
      </c>
      <c r="D411" s="7" t="n">
        <v>260</v>
      </c>
      <c r="E411" s="5" t="inlineStr">
        <is>
          <t>mf</t>
        </is>
      </c>
      <c r="F411" s="8" t="n">
        <v>2025</v>
      </c>
      <c r="G411" s="5" t="inlineStr">
        <is>
          <t>vintage 2025 is 44 years from the subject's 1981, outside the +/-10-year band</t>
        </is>
      </c>
    </row>
    <row r="412">
      <c r="A412" s="5" t="inlineStr">
        <is>
          <t>Adara</t>
        </is>
      </c>
      <c r="B412" s="5" t="inlineStr">
        <is>
          <t>888 N 4th St, Phoenix, AZ 85004-2024</t>
        </is>
      </c>
      <c r="C412" s="10" t="n">
        <v>8.890000000000001</v>
      </c>
      <c r="D412" s="7" t="n">
        <v>326</v>
      </c>
      <c r="E412" s="5" t="inlineStr">
        <is>
          <t>mf</t>
        </is>
      </c>
      <c r="F412" s="8" t="n">
        <v>2013</v>
      </c>
      <c r="G412" s="5" t="inlineStr">
        <is>
          <t>vintage 2013 is 32 years from the subject's 1981, outside the +/-10-year band</t>
        </is>
      </c>
    </row>
    <row r="413">
      <c r="A413" s="5" t="inlineStr">
        <is>
          <t>Omnia on Thomas</t>
        </is>
      </c>
      <c r="B413" s="5" t="inlineStr">
        <is>
          <t>1645 E Thomas Rd, Phoenix, AZ 85016-7631</t>
        </is>
      </c>
      <c r="C413" s="10" t="n">
        <v>8.9</v>
      </c>
      <c r="D413" s="7" t="n">
        <v>382</v>
      </c>
      <c r="E413" s="5" t="inlineStr">
        <is>
          <t>mf</t>
        </is>
      </c>
      <c r="F413" s="8" t="n">
        <v>1971</v>
      </c>
      <c r="G413" s="5" t="inlineStr">
        <is>
          <t>outside the service's preselection of 20: its rents are tracked but no unit group was quoted for it, so it is listed nearby</t>
        </is>
      </c>
    </row>
    <row r="414">
      <c r="A414" s="5" t="inlineStr">
        <is>
          <t>The Palms</t>
        </is>
      </c>
      <c r="B414" s="5" t="inlineStr">
        <is>
          <t>4304 E Campbell Ave, Phoenix, AZ 85018-3701</t>
        </is>
      </c>
      <c r="C414" s="10" t="n">
        <v>8.91</v>
      </c>
      <c r="D414" s="7" t="n">
        <v>132</v>
      </c>
      <c r="E414" s="5" t="inlineStr">
        <is>
          <t>mf</t>
        </is>
      </c>
      <c r="F414" s="8" t="n">
        <v>1991</v>
      </c>
      <c r="G414" s="5" t="inlineStr">
        <is>
          <t>outside the service's preselection of 20: its rents are tracked but no unit group was quoted for it, so it is listed nearby</t>
        </is>
      </c>
    </row>
    <row r="415">
      <c r="A415" s="5" t="inlineStr">
        <is>
          <t>X Phoenix</t>
        </is>
      </c>
      <c r="B415" s="5" t="inlineStr">
        <is>
          <t>200 W Monroe St, Phoenix, AZ 85003</t>
        </is>
      </c>
      <c r="C415" s="10" t="n">
        <v>8.91</v>
      </c>
      <c r="D415" s="7" t="n">
        <v>302</v>
      </c>
      <c r="E415" s="5" t="inlineStr">
        <is>
          <t>mf</t>
        </is>
      </c>
      <c r="F415" s="8" t="n">
        <v>2022</v>
      </c>
      <c r="G415" s="5" t="inlineStr">
        <is>
          <t>vintage 2022 is 41 years from the subject's 1981, outside the +/-10-year band</t>
        </is>
      </c>
    </row>
    <row r="416">
      <c r="A416" s="5" t="inlineStr">
        <is>
          <t>Broadstone Portland</t>
        </is>
      </c>
      <c r="B416" s="5" t="inlineStr">
        <is>
          <t>320 E Portland St, Phoenix, AZ 85004</t>
        </is>
      </c>
      <c r="C416" s="10" t="n">
        <v>8.93</v>
      </c>
      <c r="D416" s="7" t="n">
        <v>161</v>
      </c>
      <c r="E416" s="5" t="inlineStr">
        <is>
          <t>mf</t>
        </is>
      </c>
      <c r="F416" s="8" t="n">
        <v>2021</v>
      </c>
      <c r="G416" s="5" t="inlineStr">
        <is>
          <t>vintage 2021 is 40 years from the subject's 1981, outside the +/-10-year band</t>
        </is>
      </c>
    </row>
    <row r="417">
      <c r="A417" s="5" t="inlineStr">
        <is>
          <t>Derby</t>
        </is>
      </c>
      <c r="B417" s="5" t="inlineStr">
        <is>
          <t>800 N 2nd St, Phoenix, AZ 85004</t>
        </is>
      </c>
      <c r="C417" s="10" t="n">
        <v>8.93</v>
      </c>
      <c r="D417" s="7" t="n">
        <v>222</v>
      </c>
      <c r="E417" s="5" t="inlineStr">
        <is>
          <t>mf</t>
        </is>
      </c>
      <c r="F417" s="8" t="n">
        <v>2022</v>
      </c>
      <c r="G417" s="5" t="inlineStr">
        <is>
          <t>vintage 2022 is 41 years from the subject's 1981, outside the +/-10-year band</t>
        </is>
      </c>
    </row>
    <row r="418">
      <c r="A418" s="5" t="inlineStr">
        <is>
          <t>iLuminate Urban Apartment Homes</t>
        </is>
      </c>
      <c r="B418" s="5" t="inlineStr">
        <is>
          <t>290 E Roosevelt St, Phoenix, AZ 85004</t>
        </is>
      </c>
      <c r="C418" s="10" t="n">
        <v>8.960000000000001</v>
      </c>
      <c r="D418" s="7" t="n">
        <v>111</v>
      </c>
      <c r="E418" s="5" t="inlineStr">
        <is>
          <t>mf</t>
        </is>
      </c>
      <c r="F418" s="8" t="n">
        <v>2016</v>
      </c>
      <c r="G418" s="5" t="inlineStr">
        <is>
          <t>vintage 2016 is 35 years from the subject's 1981, outside the +/-10-year band</t>
        </is>
      </c>
    </row>
    <row r="419">
      <c r="A419" s="5" t="inlineStr">
        <is>
          <t>Avalon Apartments</t>
        </is>
      </c>
      <c r="B419" s="5" t="inlineStr">
        <is>
          <t>3851 N 28th St, Phoenix, AZ 85016-6840</t>
        </is>
      </c>
      <c r="C419" s="10" t="n">
        <v>8.99</v>
      </c>
      <c r="D419" s="7" t="n">
        <v>117</v>
      </c>
      <c r="E419" s="5" t="inlineStr">
        <is>
          <t>mf</t>
        </is>
      </c>
      <c r="F419" s="8" t="n">
        <v>1973</v>
      </c>
      <c r="G419" s="5" t="inlineStr">
        <is>
          <t>outside the service's preselection of 20: its rents are tracked but no unit group was quoted for it, so it is listed nearby</t>
        </is>
      </c>
    </row>
    <row r="420">
      <c r="A420" s="5" t="inlineStr">
        <is>
          <t>Ray Phoenix</t>
        </is>
      </c>
      <c r="B420" s="5" t="inlineStr">
        <is>
          <t>777 North Central Avenue, Phoenix, AZ 85004</t>
        </is>
      </c>
      <c r="C420" s="10" t="n">
        <v>8.99</v>
      </c>
      <c r="D420" s="7" t="n">
        <v>401</v>
      </c>
      <c r="E420" s="5" t="inlineStr">
        <is>
          <t>mf</t>
        </is>
      </c>
      <c r="F420" s="8" t="n">
        <v>2026</v>
      </c>
      <c r="G420" s="5" t="inlineStr">
        <is>
          <t>vintage 2026 is 45 years from the subject's 1981, outside the +/-10-year band</t>
        </is>
      </c>
    </row>
    <row r="421">
      <c r="A421" s="5" t="inlineStr">
        <is>
          <t>Heritage District</t>
        </is>
      </c>
      <c r="B421" s="5" t="inlineStr">
        <is>
          <t>275 W Juniper Ave, Gilbert, AZ 85233</t>
        </is>
      </c>
      <c r="C421" s="10" t="n">
        <v>9</v>
      </c>
      <c r="D421" s="7" t="n">
        <v>458</v>
      </c>
      <c r="E421" s="5" t="inlineStr">
        <is>
          <t>mf</t>
        </is>
      </c>
      <c r="F421" s="8" t="n">
        <v>1986</v>
      </c>
      <c r="G421" s="5" t="inlineStr">
        <is>
          <t>outside the service's preselection of 20: its rents are tracked but no unit group was quoted for it, so it is listed nearby</t>
        </is>
      </c>
    </row>
    <row r="422">
      <c r="A422" s="5" t="inlineStr">
        <is>
          <t>Urban Walk Apartments</t>
        </is>
      </c>
      <c r="B422" s="5" t="inlineStr">
        <is>
          <t>3802 N 27th St, Phoenix, AZ 85016-6752</t>
        </is>
      </c>
      <c r="C422" s="10" t="n">
        <v>9</v>
      </c>
      <c r="D422" s="7" t="n">
        <v>139</v>
      </c>
      <c r="E422" s="5" t="inlineStr">
        <is>
          <t>mf</t>
        </is>
      </c>
      <c r="F422" s="8" t="n">
        <v>1985</v>
      </c>
      <c r="G422" s="5" t="inlineStr">
        <is>
          <t>outside the service's preselection of 20: its rents are tracked but no unit group was quoted for it, so it is listed nearby</t>
        </is>
      </c>
    </row>
    <row r="423">
      <c r="A423" s="5" t="inlineStr">
        <is>
          <t>The Stewart</t>
        </is>
      </c>
      <c r="B423" s="5" t="inlineStr">
        <is>
          <t>800 N Central Ave, Phoenix, AZ 85003</t>
        </is>
      </c>
      <c r="C423" s="10" t="n">
        <v>9.06</v>
      </c>
      <c r="D423" s="7" t="n">
        <v>312</v>
      </c>
      <c r="E423" s="5" t="inlineStr">
        <is>
          <t>mf</t>
        </is>
      </c>
      <c r="F423" s="8" t="n">
        <v>2019</v>
      </c>
      <c r="G423" s="5" t="inlineStr">
        <is>
          <t>vintage 2019 is 38 years from the subject's 1981, outside the +/-10-year band</t>
        </is>
      </c>
    </row>
    <row r="424">
      <c r="A424" s="5" t="inlineStr">
        <is>
          <t>Arista at Ocotillo</t>
        </is>
      </c>
      <c r="B424" s="5" t="inlineStr">
        <is>
          <t>3200 S Dobson Rd, Chandler, AZ 85248</t>
        </is>
      </c>
      <c r="C424" s="10" t="n">
        <v>9.07</v>
      </c>
      <c r="D424" s="7" t="n">
        <v>211</v>
      </c>
      <c r="E424" s="5" t="inlineStr">
        <is>
          <t>mf</t>
        </is>
      </c>
      <c r="F424" s="8" t="n">
        <v>2019</v>
      </c>
      <c r="G424" s="5" t="inlineStr">
        <is>
          <t>vintage 2019 is 38 years from the subject's 1981, outside the +/-10-year band</t>
        </is>
      </c>
    </row>
    <row r="425">
      <c r="A425" s="5" t="inlineStr">
        <is>
          <t>Kinley at Biltmore</t>
        </is>
      </c>
      <c r="B425" s="5" t="inlineStr">
        <is>
          <t>2912 E Indian School Rd, Phoenix, AZ 85016</t>
        </is>
      </c>
      <c r="C425" s="10" t="n">
        <v>9.07</v>
      </c>
      <c r="D425" s="7" t="n">
        <v>357</v>
      </c>
      <c r="E425" s="5" t="inlineStr">
        <is>
          <t>mf</t>
        </is>
      </c>
      <c r="F425" s="8" t="n">
        <v>1979</v>
      </c>
      <c r="G425" s="5" t="inlineStr">
        <is>
          <t>outside the service's preselection of 20: its rents are tracked but no unit group was quoted for it, so it is listed nearby</t>
        </is>
      </c>
    </row>
    <row r="426">
      <c r="A426" s="5" t="inlineStr">
        <is>
          <t>The Moderne</t>
        </is>
      </c>
      <c r="B426" s="5" t="inlineStr">
        <is>
          <t>4848 N Goldwater Blvd, Scottsdale, AZ 85251</t>
        </is>
      </c>
      <c r="C426" s="10" t="n">
        <v>9.07</v>
      </c>
      <c r="D426" s="7" t="n">
        <v>369</v>
      </c>
      <c r="E426" s="5" t="inlineStr">
        <is>
          <t>mf</t>
        </is>
      </c>
      <c r="F426" s="8" t="n">
        <v>2014</v>
      </c>
      <c r="G426" s="5" t="inlineStr">
        <is>
          <t>vintage 2014 is 33 years from the subject's 1981, outside the +/-10-year band</t>
        </is>
      </c>
    </row>
    <row r="427">
      <c r="A427" s="5" t="inlineStr">
        <is>
          <t>The Rey Downtown</t>
        </is>
      </c>
      <c r="B427" s="5" t="inlineStr">
        <is>
          <t>400 N 2nd Ave, Phoenix, AZ 85003</t>
        </is>
      </c>
      <c r="C427" s="10" t="n">
        <v>9.07</v>
      </c>
      <c r="D427" s="7" t="n">
        <v>323</v>
      </c>
      <c r="E427" s="5" t="inlineStr">
        <is>
          <t>mf</t>
        </is>
      </c>
      <c r="F427" s="8" t="n">
        <v>2022</v>
      </c>
      <c r="G427" s="5" t="inlineStr">
        <is>
          <t>vintage 2022 is 41 years from the subject's 1981, outside the +/-10-year band</t>
        </is>
      </c>
    </row>
    <row r="428">
      <c r="A428" s="5" t="inlineStr">
        <is>
          <t>Cambria Apartments</t>
        </is>
      </c>
      <c r="B428" s="5" t="inlineStr">
        <is>
          <t>130 W Guadalupe Rd, Gilbert, AZ 85233</t>
        </is>
      </c>
      <c r="C428" s="10" t="n">
        <v>9.08</v>
      </c>
      <c r="D428" s="7" t="n">
        <v>174</v>
      </c>
      <c r="E428" s="5" t="inlineStr">
        <is>
          <t>mf</t>
        </is>
      </c>
      <c r="F428" s="8" t="n">
        <v>2000</v>
      </c>
      <c r="G428" s="5" t="inlineStr">
        <is>
          <t>vintage 2000 is 19 years from the subject's 1981, outside the +/-10-year band</t>
        </is>
      </c>
    </row>
    <row r="429">
      <c r="A429" s="5" t="inlineStr">
        <is>
          <t>TGM Ocotillo Bay</t>
        </is>
      </c>
      <c r="B429" s="5" t="inlineStr">
        <is>
          <t>1889 W Queen Creek Rd, Chandler, AZ 85248</t>
        </is>
      </c>
      <c r="C429" s="10" t="n">
        <v>9.08</v>
      </c>
      <c r="D429" s="7" t="n">
        <v>296</v>
      </c>
      <c r="E429" s="5" t="inlineStr">
        <is>
          <t>mf</t>
        </is>
      </c>
      <c r="F429" s="8" t="n">
        <v>1997</v>
      </c>
      <c r="G429" s="5" t="inlineStr">
        <is>
          <t>vintage 1997 is 16 years from the subject's 1981, outside the +/-10-year band</t>
        </is>
      </c>
    </row>
    <row r="430">
      <c r="A430" s="5" t="inlineStr">
        <is>
          <t>Rosie</t>
        </is>
      </c>
      <c r="B430" s="5" t="inlineStr">
        <is>
          <t>625 N 2nd Ave, Phoenix, AZ 85003-1518</t>
        </is>
      </c>
      <c r="C430" s="10" t="n">
        <v>9.09</v>
      </c>
      <c r="D430" s="7" t="n">
        <v>370</v>
      </c>
      <c r="E430" s="5" t="inlineStr">
        <is>
          <t>mf</t>
        </is>
      </c>
      <c r="F430" s="8" t="n">
        <v>2025</v>
      </c>
      <c r="G430" s="5" t="inlineStr">
        <is>
          <t>vintage 2025 is 44 years from the subject's 1981, outside the +/-10-year band</t>
        </is>
      </c>
    </row>
    <row r="431">
      <c r="A431" s="5" t="inlineStr">
        <is>
          <t>Level 550</t>
        </is>
      </c>
      <c r="B431" s="5" t="inlineStr">
        <is>
          <t>550 E McKellips Rd, Mesa, AZ 85203</t>
        </is>
      </c>
      <c r="C431" s="10" t="n">
        <v>9.1</v>
      </c>
      <c r="D431" s="7" t="n">
        <v>314</v>
      </c>
      <c r="E431" s="5" t="inlineStr">
        <is>
          <t>mf</t>
        </is>
      </c>
      <c r="F431" s="8" t="n">
        <v>1987</v>
      </c>
      <c r="G431" s="5" t="inlineStr">
        <is>
          <t>outside the service's preselection of 20: its rents are tracked but no unit group was quoted for it, so it is listed nearby</t>
        </is>
      </c>
    </row>
    <row r="432">
      <c r="A432" s="5" t="inlineStr">
        <is>
          <t>Domus</t>
        </is>
      </c>
      <c r="B432" s="5" t="inlineStr">
        <is>
          <t>4445 N 36TH St, Phoenix, AZ 85018</t>
        </is>
      </c>
      <c r="C432" s="10" t="n">
        <v>9.130000000000001</v>
      </c>
      <c r="D432" s="7" t="n">
        <v>223</v>
      </c>
      <c r="E432" s="5" t="inlineStr">
        <is>
          <t>mf</t>
        </is>
      </c>
      <c r="F432" s="8" t="n">
        <v>2013</v>
      </c>
      <c r="G432" s="5" t="inlineStr">
        <is>
          <t>vintage 2013 is 32 years from the subject's 1981, outside the +/-10-year band</t>
        </is>
      </c>
    </row>
    <row r="433">
      <c r="A433" s="5" t="inlineStr">
        <is>
          <t>Saiya</t>
        </is>
      </c>
      <c r="B433" s="5" t="inlineStr">
        <is>
          <t>802 N 1st Ave, Phoenix, AZ 85003-1792</t>
        </is>
      </c>
      <c r="C433" s="10" t="n">
        <v>9.130000000000001</v>
      </c>
      <c r="D433" s="7" t="n">
        <v>389</v>
      </c>
      <c r="E433" s="5" t="inlineStr">
        <is>
          <t>mf</t>
        </is>
      </c>
      <c r="F433" s="8" t="n">
        <v>2025</v>
      </c>
      <c r="G433" s="5" t="inlineStr">
        <is>
          <t>vintage 2025 is 44 years from the subject's 1981, outside the +/-10-year band</t>
        </is>
      </c>
    </row>
    <row r="434">
      <c r="A434" s="5" t="inlineStr">
        <is>
          <t>The District Lofts</t>
        </is>
      </c>
      <c r="B434" s="5" t="inlineStr">
        <is>
          <t>170 W Cullumber Ave, Gilbert, AZ 85233-4905</t>
        </is>
      </c>
      <c r="C434" s="10" t="n">
        <v>9.130000000000001</v>
      </c>
      <c r="D434" s="7" t="n">
        <v>172</v>
      </c>
      <c r="E434" s="5" t="inlineStr">
        <is>
          <t>mf</t>
        </is>
      </c>
      <c r="F434" s="8" t="n">
        <v>2017</v>
      </c>
      <c r="G434" s="5" t="inlineStr">
        <is>
          <t>vintage 2017 is 36 years from the subject's 1981, outside the +/-10-year band</t>
        </is>
      </c>
    </row>
    <row r="435">
      <c r="A435" s="5" t="inlineStr">
        <is>
          <t>The Orchard on Gilbert</t>
        </is>
      </c>
      <c r="B435" s="5" t="inlineStr">
        <is>
          <t>950 N Gilbert Rd, Gilbert, AZ 85234</t>
        </is>
      </c>
      <c r="C435" s="10" t="n">
        <v>9.130000000000001</v>
      </c>
      <c r="D435" s="7" t="n">
        <v>130</v>
      </c>
      <c r="E435" s="5" t="inlineStr">
        <is>
          <t>mf</t>
        </is>
      </c>
      <c r="F435" s="8" t="n">
        <v>1986</v>
      </c>
      <c r="G435" s="5" t="inlineStr">
        <is>
          <t>outside the service's preselection of 20: its rents are tracked but no unit group was quoted for it, so it is listed nearby</t>
        </is>
      </c>
    </row>
    <row r="436">
      <c r="A436" s="5" t="inlineStr">
        <is>
          <t>Union at Roosevelt Phase II</t>
        </is>
      </c>
      <c r="B436" s="5" t="inlineStr">
        <is>
          <t>888 N 1st Ave, Phoenix, AZ 85003-1677</t>
        </is>
      </c>
      <c r="C436" s="10" t="n">
        <v>9.15</v>
      </c>
      <c r="D436" s="7" t="n">
        <v>110</v>
      </c>
      <c r="E436" s="5" t="inlineStr">
        <is>
          <t>mf</t>
        </is>
      </c>
      <c r="F436" s="8" t="n">
        <v>2025</v>
      </c>
      <c r="G436" s="5" t="inlineStr">
        <is>
          <t>vintage 2025 is 44 years from the subject's 1981, outside the +/-10-year band</t>
        </is>
      </c>
    </row>
    <row r="437">
      <c r="A437" s="5" t="inlineStr">
        <is>
          <t>Almeria at Ocotillo</t>
        </is>
      </c>
      <c r="B437" s="5" t="inlineStr">
        <is>
          <t>2471 W Edgewater Way, Chandler, AZ 85248</t>
        </is>
      </c>
      <c r="C437" s="10" t="n">
        <v>9.16</v>
      </c>
      <c r="D437" s="7" t="n">
        <v>389</v>
      </c>
      <c r="E437" s="5" t="inlineStr">
        <is>
          <t>mf</t>
        </is>
      </c>
      <c r="F437" s="8" t="n">
        <v>2014</v>
      </c>
      <c r="G437" s="5" t="inlineStr">
        <is>
          <t>vintage 2014 is 33 years from the subject's 1981, outside the +/-10-year band</t>
        </is>
      </c>
    </row>
    <row r="438">
      <c r="A438" s="5" t="inlineStr">
        <is>
          <t>Ambassador West</t>
        </is>
      </c>
      <c r="B438" s="5" t="inlineStr">
        <is>
          <t>345 N 5th Ave, Phoenix, AZ 85003-4503</t>
        </is>
      </c>
      <c r="C438" s="10" t="n">
        <v>9.18</v>
      </c>
      <c r="D438" s="7" t="n">
        <v>102</v>
      </c>
      <c r="E438" s="5" t="inlineStr">
        <is>
          <t>mf</t>
        </is>
      </c>
      <c r="F438" s="8" t="n">
        <v>1979</v>
      </c>
      <c r="G438" s="5" t="inlineStr">
        <is>
          <t>excluded from comp sets by the tracker: income_restricted</t>
        </is>
      </c>
    </row>
    <row r="439">
      <c r="A439" s="5" t="inlineStr">
        <is>
          <t>Zaterra Luxury Apartments</t>
        </is>
      </c>
      <c r="B439" s="5" t="inlineStr">
        <is>
          <t>200 W Germann Rd, Chandler, AZ 85286</t>
        </is>
      </c>
      <c r="C439" s="10" t="n">
        <v>9.18</v>
      </c>
      <c r="D439" s="7" t="n">
        <v>392</v>
      </c>
      <c r="E439" s="5" t="inlineStr">
        <is>
          <t>mf</t>
        </is>
      </c>
      <c r="F439" s="8" t="n">
        <v>2022</v>
      </c>
      <c r="G439" s="5" t="inlineStr">
        <is>
          <t>vintage 2022 is 41 years from the subject's 1981, outside the +/-10-year band</t>
        </is>
      </c>
    </row>
    <row r="440">
      <c r="A440" s="5" t="inlineStr">
        <is>
          <t>AVE Terra</t>
        </is>
      </c>
      <c r="B440" s="5" t="inlineStr">
        <is>
          <t>555 N 5th Ave, Phoenix, AZ 85003-1507</t>
        </is>
      </c>
      <c r="C440" s="10" t="n">
        <v>9.19</v>
      </c>
      <c r="D440" s="7" t="n">
        <v>348</v>
      </c>
      <c r="E440" s="5" t="inlineStr">
        <is>
          <t>mf</t>
        </is>
      </c>
      <c r="F440" s="8" t="n">
        <v>2022</v>
      </c>
      <c r="G440" s="5" t="inlineStr">
        <is>
          <t>vintage 2022 is 41 years from the subject's 1981, outside the +/-10-year band</t>
        </is>
      </c>
    </row>
    <row r="441">
      <c r="A441" s="5" t="inlineStr">
        <is>
          <t>Portrait at Hance Park</t>
        </is>
      </c>
      <c r="B441" s="5" t="inlineStr">
        <is>
          <t>1313 N 2nd St, Phoenix, AZ 85004-1780</t>
        </is>
      </c>
      <c r="C441" s="10" t="n">
        <v>9.19</v>
      </c>
      <c r="D441" s="7" t="n">
        <v>340</v>
      </c>
      <c r="E441" s="5" t="inlineStr">
        <is>
          <t>mf</t>
        </is>
      </c>
      <c r="F441" s="8" t="n">
        <v>2019</v>
      </c>
      <c r="G441" s="5" t="inlineStr">
        <is>
          <t>vintage 2019 is 38 years from the subject's 1981, outside the +/-10-year band</t>
        </is>
      </c>
    </row>
    <row r="442">
      <c r="A442" s="5" t="inlineStr">
        <is>
          <t>Roosevelt Square</t>
        </is>
      </c>
      <c r="B442" s="5" t="inlineStr">
        <is>
          <t>121 W Portland St, Phoenix, AZ 85003-1665</t>
        </is>
      </c>
      <c r="C442" s="10" t="n">
        <v>9.19</v>
      </c>
      <c r="D442" s="7" t="n">
        <v>403</v>
      </c>
      <c r="E442" s="5" t="inlineStr">
        <is>
          <t>mf</t>
        </is>
      </c>
      <c r="F442" s="8" t="n">
        <v>2001</v>
      </c>
      <c r="G442" s="5" t="inlineStr">
        <is>
          <t>vintage 2001 is 20 years from the subject's 1981, outside the +/-10-year band</t>
        </is>
      </c>
    </row>
    <row r="443">
      <c r="A443" s="5" t="inlineStr">
        <is>
          <t>Cortland Biltmore Place</t>
        </is>
      </c>
      <c r="B443" s="5" t="inlineStr">
        <is>
          <t>4114 N 28th St, Phoenix, AZ 85016-5707</t>
        </is>
      </c>
      <c r="C443" s="10" t="n">
        <v>9.199999999999999</v>
      </c>
      <c r="D443" s="7" t="n">
        <v>165</v>
      </c>
      <c r="E443" s="5" t="inlineStr">
        <is>
          <t>mf</t>
        </is>
      </c>
      <c r="F443" s="8" t="n">
        <v>2015</v>
      </c>
      <c r="G443" s="5" t="inlineStr">
        <is>
          <t>vintage 2015 is 34 years from the subject's 1981, outside the +/-10-year band</t>
        </is>
      </c>
    </row>
    <row r="444">
      <c r="A444" s="5" t="inlineStr">
        <is>
          <t>Cielo on Gilbert</t>
        </is>
      </c>
      <c r="B444" s="5" t="inlineStr">
        <is>
          <t>1710 S Gilbert Rd, Mesa, AZ 85204</t>
        </is>
      </c>
      <c r="C444" s="10" t="n">
        <v>9.210000000000001</v>
      </c>
      <c r="D444" s="7" t="n">
        <v>432</v>
      </c>
      <c r="E444" s="5" t="inlineStr">
        <is>
          <t>mf</t>
        </is>
      </c>
      <c r="F444" s="8" t="n">
        <v>1985</v>
      </c>
      <c r="G444" s="5" t="inlineStr">
        <is>
          <t>outside the service's preselection of 20: its rents are tracked but no unit group was quoted for it, so it is listed nearby</t>
        </is>
      </c>
    </row>
    <row r="445">
      <c r="A445" s="5" t="inlineStr">
        <is>
          <t>The Plaza Taos</t>
        </is>
      </c>
      <c r="B445" s="5" t="inlineStr">
        <is>
          <t>1900 S Arizona Ave, Chandler, AZ 85286</t>
        </is>
      </c>
      <c r="C445" s="10" t="n">
        <v>9.210000000000001</v>
      </c>
      <c r="D445" s="7" t="n">
        <v>164</v>
      </c>
      <c r="E445" s="5" t="inlineStr">
        <is>
          <t>mf</t>
        </is>
      </c>
      <c r="F445" s="8" t="n">
        <v>2023</v>
      </c>
      <c r="G445" s="5" t="inlineStr">
        <is>
          <t>vintage 2023 is 42 years from the subject's 1981, outside the +/-10-year band</t>
        </is>
      </c>
    </row>
    <row r="446">
      <c r="A446" s="5" t="inlineStr">
        <is>
          <t>Villas on Ash</t>
        </is>
      </c>
      <c r="B446" s="5" t="inlineStr">
        <is>
          <t>1381 N Gilbert Rd, Gilbert, AZ 85234-2305</t>
        </is>
      </c>
      <c r="C446" s="10" t="n">
        <v>9.25</v>
      </c>
      <c r="D446" s="7" t="n">
        <v>165</v>
      </c>
      <c r="E446" s="5" t="inlineStr">
        <is>
          <t>bfr</t>
        </is>
      </c>
      <c r="F446" s="12" t="n"/>
      <c r="G446" s="5" t="inlineStr">
        <is>
          <t>different product: tracked as bfr, subject is MF</t>
        </is>
      </c>
    </row>
    <row r="447">
      <c r="A447" s="5" t="inlineStr">
        <is>
          <t>Citrine</t>
        </is>
      </c>
      <c r="B447" s="5" t="inlineStr">
        <is>
          <t>4900 N 44th St, Phoenix, AZ 85018-2711</t>
        </is>
      </c>
      <c r="C447" s="10" t="n">
        <v>9.26</v>
      </c>
      <c r="D447" s="7" t="n">
        <v>312</v>
      </c>
      <c r="E447" s="5" t="inlineStr">
        <is>
          <t>mf</t>
        </is>
      </c>
      <c r="F447" s="8" t="n">
        <v>2015</v>
      </c>
      <c r="G447" s="5" t="inlineStr">
        <is>
          <t>vintage 2015 is 34 years from the subject's 1981, outside the +/-10-year band</t>
        </is>
      </c>
    </row>
    <row r="448">
      <c r="A448" s="5" t="inlineStr">
        <is>
          <t>Gilbert Greens Apartments</t>
        </is>
      </c>
      <c r="B448" s="5" t="inlineStr">
        <is>
          <t>1101 N Gilbert Rd, Gilbert, AZ 85234</t>
        </is>
      </c>
      <c r="C448" s="10" t="n">
        <v>9.26</v>
      </c>
      <c r="D448" s="7" t="n">
        <v>164</v>
      </c>
      <c r="E448" s="5" t="inlineStr">
        <is>
          <t>mf</t>
        </is>
      </c>
      <c r="F448" s="8" t="n">
        <v>1985</v>
      </c>
      <c r="G448" s="5" t="inlineStr">
        <is>
          <t>outside the service's preselection of 20: its rents are tracked but no unit group was quoted for it, so it is listed nearby</t>
        </is>
      </c>
    </row>
    <row r="449">
      <c r="A449" s="5" t="inlineStr">
        <is>
          <t>The Loreto</t>
        </is>
      </c>
      <c r="B449" s="5" t="inlineStr">
        <is>
          <t>1350 E Thomas Rd, Phoenix, AZ 85014</t>
        </is>
      </c>
      <c r="C449" s="10" t="n">
        <v>9.26</v>
      </c>
      <c r="D449" s="7" t="n">
        <v>130</v>
      </c>
      <c r="E449" s="5" t="inlineStr">
        <is>
          <t>mf</t>
        </is>
      </c>
      <c r="F449" s="8" t="n">
        <v>1972</v>
      </c>
      <c r="G449" s="5" t="inlineStr">
        <is>
          <t>outside the service's preselection of 20: its rents are tracked but no unit group was quoted for it, so it is listed nearby</t>
        </is>
      </c>
    </row>
    <row r="450">
      <c r="A450" s="5" t="inlineStr">
        <is>
          <t>Circa Central Avenue</t>
        </is>
      </c>
      <c r="B450" s="5" t="inlineStr">
        <is>
          <t>1505 N Central Ave, Phoenix, AZ 85004-1613</t>
        </is>
      </c>
      <c r="C450" s="10" t="n">
        <v>9.300000000000001</v>
      </c>
      <c r="D450" s="7" t="n">
        <v>227</v>
      </c>
      <c r="E450" s="5" t="inlineStr">
        <is>
          <t>mf</t>
        </is>
      </c>
      <c r="F450" s="8" t="n">
        <v>2019</v>
      </c>
      <c r="G450" s="5" t="inlineStr">
        <is>
          <t>vintage 2019 is 38 years from the subject's 1981, outside the +/-10-year band</t>
        </is>
      </c>
    </row>
    <row r="451">
      <c r="A451" s="5" t="inlineStr">
        <is>
          <t>601 PAX</t>
        </is>
      </c>
      <c r="B451" s="5" t="inlineStr">
        <is>
          <t>601 W Fillmore St, Phoenix, AZ 85003</t>
        </is>
      </c>
      <c r="C451" s="10" t="n">
        <v>9.31</v>
      </c>
      <c r="D451" s="7" t="n">
        <v>230</v>
      </c>
      <c r="E451" s="5" t="inlineStr">
        <is>
          <t>mf</t>
        </is>
      </c>
      <c r="F451" s="8" t="n">
        <v>2016</v>
      </c>
      <c r="G451" s="5" t="inlineStr">
        <is>
          <t>vintage 2016 is 35 years from the subject's 1981, outside the +/-10-year band</t>
        </is>
      </c>
    </row>
    <row r="452">
      <c r="A452" s="5" t="inlineStr">
        <is>
          <t>Arts District</t>
        </is>
      </c>
      <c r="B452" s="5" t="inlineStr">
        <is>
          <t>222 E McDowell Rd, Phoenix, AZ 85004</t>
        </is>
      </c>
      <c r="C452" s="10" t="n">
        <v>9.32</v>
      </c>
      <c r="D452" s="7" t="n">
        <v>280</v>
      </c>
      <c r="E452" s="5" t="inlineStr">
        <is>
          <t>mf</t>
        </is>
      </c>
      <c r="F452" s="8" t="n">
        <v>2017</v>
      </c>
      <c r="G452" s="5" t="inlineStr">
        <is>
          <t>vintage 2017 is 36 years from the subject's 1981, outside the +/-10-year band</t>
        </is>
      </c>
    </row>
    <row r="453">
      <c r="A453" s="5" t="inlineStr">
        <is>
          <t>Olive East</t>
        </is>
      </c>
      <c r="B453" s="5" t="inlineStr">
        <is>
          <t>65 E Olive Ave, Gilbert, AZ 85234</t>
        </is>
      </c>
      <c r="C453" s="10" t="n">
        <v>9.33</v>
      </c>
      <c r="D453" s="7" t="n">
        <v>120</v>
      </c>
      <c r="E453" s="5" t="inlineStr">
        <is>
          <t>mf</t>
        </is>
      </c>
      <c r="F453" s="8" t="n">
        <v>1984</v>
      </c>
      <c r="G453" s="5" t="inlineStr">
        <is>
          <t>outside the service's preselection of 20: its rents are tracked but no unit group was quoted for it, so it is listed nearby</t>
        </is>
      </c>
    </row>
    <row r="454">
      <c r="A454" s="5" t="inlineStr">
        <is>
          <t>2150 Apartments</t>
        </is>
      </c>
      <c r="B454" s="5" t="inlineStr">
        <is>
          <t>2150 S Arizona Ave, Chandler, AZ 85286-7725</t>
        </is>
      </c>
      <c r="C454" s="10" t="n">
        <v>9.359999999999999</v>
      </c>
      <c r="D454" s="7" t="n">
        <v>289</v>
      </c>
      <c r="E454" s="5" t="inlineStr">
        <is>
          <t>mf</t>
        </is>
      </c>
      <c r="F454" s="8" t="n">
        <v>2001</v>
      </c>
      <c r="G454" s="5" t="inlineStr">
        <is>
          <t>vintage 2001 is 20 years from the subject's 1981, outside the +/-10-year band</t>
        </is>
      </c>
    </row>
    <row r="455">
      <c r="A455" s="5" t="inlineStr">
        <is>
          <t>Espiral Apartments</t>
        </is>
      </c>
      <c r="B455" s="5" t="inlineStr">
        <is>
          <t>125 E Guadalupe Rd, Gilbert, AZ 85234</t>
        </is>
      </c>
      <c r="C455" s="10" t="n">
        <v>9.41</v>
      </c>
      <c r="D455" s="7" t="n">
        <v>225</v>
      </c>
      <c r="E455" s="5" t="inlineStr">
        <is>
          <t>mf</t>
        </is>
      </c>
      <c r="F455" s="8" t="n">
        <v>1986</v>
      </c>
      <c r="G455" s="5" t="inlineStr">
        <is>
          <t>outside the service's preselection of 20: its rents are tracked but no unit group was quoted for it, so it is listed nearby</t>
        </is>
      </c>
    </row>
    <row r="456">
      <c r="A456" s="5" t="inlineStr">
        <is>
          <t>The Hamptons</t>
        </is>
      </c>
      <c r="B456" s="5" t="inlineStr">
        <is>
          <t>2055 E Hampton Ave, Mesa, AZ 85204-6155</t>
        </is>
      </c>
      <c r="C456" s="10" t="n">
        <v>9.42</v>
      </c>
      <c r="D456" s="7" t="n">
        <v>251</v>
      </c>
      <c r="E456" s="5" t="inlineStr">
        <is>
          <t>mf</t>
        </is>
      </c>
      <c r="F456" s="8" t="n">
        <v>1981</v>
      </c>
      <c r="G456" s="5" t="inlineStr">
        <is>
          <t>outside the service's preselection of 20: its rents are tracked but no unit group was quoted for it, so it is listed nearby</t>
        </is>
      </c>
    </row>
    <row r="457">
      <c r="A457" s="5" t="inlineStr">
        <is>
          <t>Arioso City Lofts</t>
        </is>
      </c>
      <c r="B457" s="5" t="inlineStr">
        <is>
          <t>3411 N 16th St, Phoenix, AZ 85016</t>
        </is>
      </c>
      <c r="C457" s="10" t="n">
        <v>9.43</v>
      </c>
      <c r="D457" s="7" t="n">
        <v>324</v>
      </c>
      <c r="E457" s="5" t="inlineStr">
        <is>
          <t>mf</t>
        </is>
      </c>
      <c r="F457" s="8" t="n">
        <v>1999</v>
      </c>
      <c r="G457" s="5" t="inlineStr">
        <is>
          <t>vintage 1999 is 18 years from the subject's 1981, outside the +/-10-year band</t>
        </is>
      </c>
    </row>
    <row r="458">
      <c r="A458" s="5" t="inlineStr">
        <is>
          <t>Seven Oaks</t>
        </is>
      </c>
      <c r="B458" s="5" t="inlineStr">
        <is>
          <t>2332 N 7th St, Phoenix, AZ 85006-1606</t>
        </is>
      </c>
      <c r="C458" s="10" t="n">
        <v>9.43</v>
      </c>
      <c r="D458" s="7" t="n">
        <v>332</v>
      </c>
      <c r="E458" s="5" t="inlineStr">
        <is>
          <t>mf</t>
        </is>
      </c>
      <c r="F458" s="8" t="n">
        <v>2025</v>
      </c>
      <c r="G458" s="5" t="inlineStr">
        <is>
          <t>vintage 2025 is 44 years from the subject's 1981, outside the +/-10-year band</t>
        </is>
      </c>
    </row>
    <row r="459">
      <c r="A459" s="5" t="inlineStr">
        <is>
          <t>Arcadia Villa Apartments</t>
        </is>
      </c>
      <c r="B459" s="5" t="inlineStr">
        <is>
          <t>3915 E Camelback Rd, Phoenix, AZ 85018</t>
        </is>
      </c>
      <c r="C459" s="10" t="n">
        <v>9.449999999999999</v>
      </c>
      <c r="D459" s="7" t="n">
        <v>169</v>
      </c>
      <c r="E459" s="5" t="inlineStr">
        <is>
          <t>mf</t>
        </is>
      </c>
      <c r="F459" s="8" t="n">
        <v>1971</v>
      </c>
      <c r="G459" s="5" t="inlineStr">
        <is>
          <t>outside the service's preselection of 20: its rents are tracked but no unit group was quoted for it, so it is listed nearby</t>
        </is>
      </c>
    </row>
    <row r="460">
      <c r="A460" s="5" t="inlineStr">
        <is>
          <t>Town Commons</t>
        </is>
      </c>
      <c r="B460" s="5" t="inlineStr">
        <is>
          <t>1000 S Gilbert Rd, Gilbert, AZ 85296-3400</t>
        </is>
      </c>
      <c r="C460" s="10" t="n">
        <v>9.470000000000001</v>
      </c>
      <c r="D460" s="7" t="n">
        <v>306</v>
      </c>
      <c r="E460" s="5" t="inlineStr">
        <is>
          <t>mf</t>
        </is>
      </c>
      <c r="F460" s="8" t="n">
        <v>2017</v>
      </c>
      <c r="G460" s="5" t="inlineStr">
        <is>
          <t>vintage 2017 is 36 years from the subject's 1981, outside the +/-10-year band</t>
        </is>
      </c>
    </row>
    <row r="461">
      <c r="A461" s="5" t="inlineStr">
        <is>
          <t>Craft at Gilbert and Baseline</t>
        </is>
      </c>
      <c r="B461" s="5" t="inlineStr">
        <is>
          <t>1930 S 24th St, Mesa, AZ 85234</t>
        </is>
      </c>
      <c r="C461" s="10" t="n">
        <v>9.5</v>
      </c>
      <c r="D461" s="7" t="n">
        <v>104</v>
      </c>
      <c r="E461" s="5" t="inlineStr">
        <is>
          <t>mf</t>
        </is>
      </c>
      <c r="F461" s="8" t="n">
        <v>2018</v>
      </c>
      <c r="G461" s="5" t="inlineStr">
        <is>
          <t>vintage 2018 is 37 years from the subject's 1981, outside the +/-10-year band</t>
        </is>
      </c>
    </row>
    <row r="462">
      <c r="A462" s="5" t="inlineStr">
        <is>
          <t>Muse</t>
        </is>
      </c>
      <c r="B462" s="5" t="inlineStr">
        <is>
          <t>1616 N Central Ave, Phoenix, AZ 85004-1623</t>
        </is>
      </c>
      <c r="C462" s="10" t="n">
        <v>9.5</v>
      </c>
      <c r="D462" s="7" t="n">
        <v>367</v>
      </c>
      <c r="E462" s="5" t="inlineStr">
        <is>
          <t>mf</t>
        </is>
      </c>
      <c r="F462" s="8" t="n">
        <v>2017</v>
      </c>
      <c r="G462" s="5" t="inlineStr">
        <is>
          <t>vintage 2017 is 36 years from the subject's 1981, outside the +/-10-year band</t>
        </is>
      </c>
    </row>
    <row r="463">
      <c r="A463" s="5" t="inlineStr">
        <is>
          <t>Saltera Apartments</t>
        </is>
      </c>
      <c r="B463" s="5" t="inlineStr">
        <is>
          <t>2151 E Southern Ave, Mesa, AZ 85204</t>
        </is>
      </c>
      <c r="C463" s="10" t="n">
        <v>9.5</v>
      </c>
      <c r="D463" s="7" t="n">
        <v>306</v>
      </c>
      <c r="E463" s="5" t="inlineStr">
        <is>
          <t>mf</t>
        </is>
      </c>
      <c r="F463" s="8" t="n">
        <v>1984</v>
      </c>
      <c r="G463" s="5" t="inlineStr">
        <is>
          <t>outside the service's preselection of 20: its rents are tracked but no unit group was quoted for it, so it is listed nearby</t>
        </is>
      </c>
    </row>
    <row r="464">
      <c r="A464" s="5" t="inlineStr">
        <is>
          <t>Echelon</t>
        </is>
      </c>
      <c r="B464" s="5" t="inlineStr">
        <is>
          <t>4301 N 24th St, Phoenix, AZ 85016</t>
        </is>
      </c>
      <c r="C464" s="10" t="n">
        <v>9.539999999999999</v>
      </c>
      <c r="D464" s="7" t="n">
        <v>124</v>
      </c>
      <c r="E464" s="5" t="inlineStr">
        <is>
          <t>mf</t>
        </is>
      </c>
      <c r="F464" s="8" t="n">
        <v>1972</v>
      </c>
      <c r="G464" s="5" t="inlineStr">
        <is>
          <t>outside the service's preselection of 20: its rents are tracked but no unit group was quoted for it, so it is listed nearby</t>
        </is>
      </c>
    </row>
    <row r="465">
      <c r="A465" s="5" t="inlineStr">
        <is>
          <t>ReNue Downtown</t>
        </is>
      </c>
      <c r="B465" s="5" t="inlineStr">
        <is>
          <t>1350 W Van Buren St, Phoenix, AZ 85007-2537</t>
        </is>
      </c>
      <c r="C465" s="10" t="n">
        <v>9.59</v>
      </c>
      <c r="D465" s="7" t="n">
        <v>200</v>
      </c>
      <c r="E465" s="5" t="inlineStr">
        <is>
          <t>mf</t>
        </is>
      </c>
      <c r="F465" s="8" t="n">
        <v>2001</v>
      </c>
      <c r="G465" s="5" t="inlineStr">
        <is>
          <t>excluded from comp sets by the tracker: income_restricted</t>
        </is>
      </c>
    </row>
    <row r="466">
      <c r="A466" s="5" t="inlineStr">
        <is>
          <t>Coffelt Apartment Homes</t>
        </is>
      </c>
      <c r="B466" s="5" t="inlineStr">
        <is>
          <t>1510 S 19th Dr, Phoenix, AZ 85009</t>
        </is>
      </c>
      <c r="C466" s="10" t="n">
        <v>9.6</v>
      </c>
      <c r="D466" s="7" t="n">
        <v>194</v>
      </c>
      <c r="E466" s="5" t="inlineStr">
        <is>
          <t>mf</t>
        </is>
      </c>
      <c r="F466" s="8" t="n">
        <v>2017</v>
      </c>
      <c r="G466" s="5" t="inlineStr">
        <is>
          <t>excluded from comp sets by the tracker: income_restricted</t>
        </is>
      </c>
    </row>
    <row r="467">
      <c r="A467" s="5" t="inlineStr">
        <is>
          <t>Capri on Camelback</t>
        </is>
      </c>
      <c r="B467" s="5" t="inlineStr">
        <is>
          <t>5115 N 40th St, Phoenix, AZ 85018-9162</t>
        </is>
      </c>
      <c r="C467" s="10" t="n">
        <v>9.609999999999999</v>
      </c>
      <c r="D467" s="7" t="n">
        <v>556</v>
      </c>
      <c r="E467" s="5" t="inlineStr">
        <is>
          <t>mf</t>
        </is>
      </c>
      <c r="F467" s="8" t="n">
        <v>1970</v>
      </c>
      <c r="G467" s="5" t="inlineStr">
        <is>
          <t>vintage 1970 is 11 years from the subject's 1981, outside the +/-10-year band</t>
        </is>
      </c>
    </row>
    <row r="468">
      <c r="A468" s="5" t="inlineStr">
        <is>
          <t>Gilbert Square</t>
        </is>
      </c>
      <c r="B468" s="5" t="inlineStr">
        <is>
          <t>1821 E Covina St, Mesa, AZ 85203-7525</t>
        </is>
      </c>
      <c r="C468" s="10" t="n">
        <v>9.609999999999999</v>
      </c>
      <c r="D468" s="7" t="n">
        <v>164</v>
      </c>
      <c r="E468" s="5" t="inlineStr">
        <is>
          <t>mf</t>
        </is>
      </c>
      <c r="F468" s="8" t="n">
        <v>1979</v>
      </c>
      <c r="G468" s="5" t="inlineStr">
        <is>
          <t>outside the service's preselection of 20: its rents are tracked but no unit group was quoted for it, so it is listed nearby</t>
        </is>
      </c>
    </row>
    <row r="469">
      <c r="A469" s="5" t="inlineStr">
        <is>
          <t>Elux at McQueen</t>
        </is>
      </c>
      <c r="B469" s="5" t="inlineStr">
        <is>
          <t>1750 S Senate St, Chandler, AZ 85286-2609</t>
        </is>
      </c>
      <c r="C469" s="10" t="n">
        <v>9.630000000000001</v>
      </c>
      <c r="D469" s="7" t="n">
        <v>162</v>
      </c>
      <c r="E469" s="5" t="inlineStr">
        <is>
          <t>bfr</t>
        </is>
      </c>
      <c r="F469" s="12" t="n"/>
      <c r="G469" s="5" t="inlineStr">
        <is>
          <t>different product: tracked as bfr, subject is MF</t>
        </is>
      </c>
    </row>
    <row r="470">
      <c r="A470" s="5" t="inlineStr">
        <is>
          <t>Mira Santi</t>
        </is>
      </c>
      <c r="B470" s="5" t="inlineStr">
        <is>
          <t>800 W Queen Creek Rd, Chandler, AZ 85248</t>
        </is>
      </c>
      <c r="C470" s="10" t="n">
        <v>9.630000000000001</v>
      </c>
      <c r="D470" s="7" t="n">
        <v>252</v>
      </c>
      <c r="E470" s="5" t="inlineStr">
        <is>
          <t>mf</t>
        </is>
      </c>
      <c r="F470" s="8" t="n">
        <v>1999</v>
      </c>
      <c r="G470" s="5" t="inlineStr">
        <is>
          <t>vintage 1999 is 18 years from the subject's 1981, outside the +/-10-year band</t>
        </is>
      </c>
    </row>
    <row r="471">
      <c r="A471" s="5" t="inlineStr">
        <is>
          <t>Astero Mesa West</t>
        </is>
      </c>
      <c r="B471" s="5" t="inlineStr">
        <is>
          <t>214 N Gilbert Rd, Mesa, AZ 85203</t>
        </is>
      </c>
      <c r="C471" s="10" t="n">
        <v>9.65</v>
      </c>
      <c r="D471" s="7" t="n">
        <v>113</v>
      </c>
      <c r="E471" s="5" t="inlineStr">
        <is>
          <t>mf</t>
        </is>
      </c>
      <c r="F471" s="8" t="n">
        <v>1986</v>
      </c>
      <c r="G471" s="5" t="inlineStr">
        <is>
          <t>outside the service's preselection of 20: its rents are tracked but no unit group was quoted for it, so it is listed nearby</t>
        </is>
      </c>
    </row>
    <row r="472">
      <c r="A472" s="5" t="inlineStr">
        <is>
          <t>The Vance</t>
        </is>
      </c>
      <c r="B472" s="5" t="inlineStr">
        <is>
          <t>2055 E Broadway Rd, Mesa, AZ 85204-1480</t>
        </is>
      </c>
      <c r="C472" s="10" t="n">
        <v>9.65</v>
      </c>
      <c r="D472" s="7" t="n">
        <v>464</v>
      </c>
      <c r="E472" s="5" t="inlineStr">
        <is>
          <t>mf</t>
        </is>
      </c>
      <c r="F472" s="8" t="n">
        <v>1987</v>
      </c>
      <c r="G472" s="5" t="inlineStr">
        <is>
          <t>outside the service's preselection of 20: its rents are tracked but no unit group was quoted for it, so it is listed nearby</t>
        </is>
      </c>
    </row>
    <row r="473">
      <c r="A473" s="5" t="inlineStr">
        <is>
          <t>Townhomes at Biltmore</t>
        </is>
      </c>
      <c r="B473" s="5" t="inlineStr">
        <is>
          <t>3501 E Camelback Rd, Phoenix, AZ 85018</t>
        </is>
      </c>
      <c r="C473" s="10" t="n">
        <v>9.67</v>
      </c>
      <c r="D473" s="7" t="n">
        <v>57</v>
      </c>
      <c r="E473" s="5" t="inlineStr">
        <is>
          <t>bfr</t>
        </is>
      </c>
      <c r="F473" s="8" t="n">
        <v>1995</v>
      </c>
      <c r="G473" s="5" t="inlineStr">
        <is>
          <t>different product: tracked as bfr, subject is MF</t>
        </is>
      </c>
    </row>
    <row r="474">
      <c r="A474" s="5" t="inlineStr">
        <is>
          <t>Audere Apartments</t>
        </is>
      </c>
      <c r="B474" s="5" t="inlineStr">
        <is>
          <t>1920 E Indian School Rd, Phoenix, AZ 85016-6017</t>
        </is>
      </c>
      <c r="C474" s="10" t="n">
        <v>9.720000000000001</v>
      </c>
      <c r="D474" s="7" t="n">
        <v>220</v>
      </c>
      <c r="E474" s="5" t="inlineStr">
        <is>
          <t>mf</t>
        </is>
      </c>
      <c r="F474" s="8" t="n">
        <v>2016</v>
      </c>
      <c r="G474" s="5" t="inlineStr">
        <is>
          <t>vintage 2016 is 35 years from the subject's 1981, outside the +/-10-year band</t>
        </is>
      </c>
    </row>
    <row r="475">
      <c r="A475" s="5" t="inlineStr">
        <is>
          <t>Mesa Station</t>
        </is>
      </c>
      <c r="B475" s="5" t="inlineStr">
        <is>
          <t>111 N Gilbert Rd, Mesa, AZ 85203</t>
        </is>
      </c>
      <c r="C475" s="10" t="n">
        <v>9.720000000000001</v>
      </c>
      <c r="D475" s="7" t="n">
        <v>397</v>
      </c>
      <c r="E475" s="5" t="inlineStr">
        <is>
          <t>mf</t>
        </is>
      </c>
      <c r="F475" s="8" t="n">
        <v>1984</v>
      </c>
      <c r="G475" s="5" t="inlineStr">
        <is>
          <t>outside the service's preselection of 20: its rents are tracked but no unit group was quoted for it, so it is listed nearby</t>
        </is>
      </c>
    </row>
    <row r="476">
      <c r="A476" s="5" t="inlineStr">
        <is>
          <t>Mesa Royale</t>
        </is>
      </c>
      <c r="B476" s="5" t="inlineStr">
        <is>
          <t>1825 N Stapley Dr, Mesa, AZ 85203</t>
        </is>
      </c>
      <c r="C476" s="10" t="n">
        <v>9.73</v>
      </c>
      <c r="D476" s="7" t="n">
        <v>153</v>
      </c>
      <c r="E476" s="5" t="inlineStr">
        <is>
          <t>mf</t>
        </is>
      </c>
      <c r="F476" s="8" t="n">
        <v>1985</v>
      </c>
      <c r="G476" s="5" t="inlineStr">
        <is>
          <t>excluded from comp sets by the tracker: age_restricted</t>
        </is>
      </c>
    </row>
    <row r="477">
      <c r="A477" s="5" t="inlineStr">
        <is>
          <t>Talise Apartments</t>
        </is>
      </c>
      <c r="B477" s="5" t="inlineStr">
        <is>
          <t>265 N Gilbert Rd, Mesa, AZ 85203-8248</t>
        </is>
      </c>
      <c r="C477" s="10" t="n">
        <v>9.77</v>
      </c>
      <c r="D477" s="7" t="n">
        <v>388</v>
      </c>
      <c r="E477" s="5" t="inlineStr">
        <is>
          <t>mf</t>
        </is>
      </c>
      <c r="F477" s="8" t="n">
        <v>1985</v>
      </c>
      <c r="G477" s="5" t="inlineStr">
        <is>
          <t>outside the service's preselection of 20: its rents are tracked but no unit group was quoted for it, so it is listed nearby</t>
        </is>
      </c>
    </row>
    <row r="478">
      <c r="A478" s="5" t="inlineStr">
        <is>
          <t>Astero Mesa East</t>
        </is>
      </c>
      <c r="B478" s="5" t="inlineStr">
        <is>
          <t>225 N Gilbert Rd, Mesa, AZ 85203</t>
        </is>
      </c>
      <c r="C478" s="10" t="n">
        <v>9.800000000000001</v>
      </c>
      <c r="D478" s="7" t="n">
        <v>152</v>
      </c>
      <c r="E478" s="5" t="inlineStr">
        <is>
          <t>mf</t>
        </is>
      </c>
      <c r="F478" s="8" t="n">
        <v>1987</v>
      </c>
      <c r="G478" s="5" t="inlineStr">
        <is>
          <t>outside the service's preselection of 20: its rents are tracked but no unit group was quoted for it, so it is listed nearby</t>
        </is>
      </c>
    </row>
    <row r="479">
      <c r="A479" s="5" t="inlineStr">
        <is>
          <t>The Heritage</t>
        </is>
      </c>
      <c r="B479" s="5" t="inlineStr">
        <is>
          <t>1100 E Osborn Rd, Phoenix, AZ 85014</t>
        </is>
      </c>
      <c r="C479" s="10" t="n">
        <v>9.81</v>
      </c>
      <c r="D479" s="7" t="n">
        <v>204</v>
      </c>
      <c r="E479" s="5" t="inlineStr">
        <is>
          <t>mf</t>
        </is>
      </c>
      <c r="F479" s="8" t="n">
        <v>1995</v>
      </c>
      <c r="G479" s="5" t="inlineStr">
        <is>
          <t>vintage 1995 is 14 years from the subject's 1981, outside the +/-10-year band</t>
        </is>
      </c>
    </row>
    <row r="480">
      <c r="A480" s="5" t="inlineStr">
        <is>
          <t>Delano Apartments</t>
        </is>
      </c>
      <c r="B480" s="5" t="inlineStr">
        <is>
          <t>1800 E Covina St, Mesa, AZ 85203</t>
        </is>
      </c>
      <c r="C480" s="10" t="n">
        <v>9.82</v>
      </c>
      <c r="D480" s="7" t="n">
        <v>265</v>
      </c>
      <c r="E480" s="5" t="inlineStr">
        <is>
          <t>mf</t>
        </is>
      </c>
      <c r="F480" s="8" t="n">
        <v>1979</v>
      </c>
      <c r="G480" s="5" t="inlineStr">
        <is>
          <t>outside the service's preselection of 20: its rents are tracked but no unit group was quoted for it, so it is listed nearby</t>
        </is>
      </c>
    </row>
    <row r="481">
      <c r="A481" s="5" t="inlineStr">
        <is>
          <t>District at Biltmore</t>
        </is>
      </c>
      <c r="B481" s="5" t="inlineStr">
        <is>
          <t>4600 N 24th St, Phoenix, AZ 85016-5204</t>
        </is>
      </c>
      <c r="C481" s="10" t="n">
        <v>9.91</v>
      </c>
      <c r="D481" s="7" t="n">
        <v>227</v>
      </c>
      <c r="E481" s="5" t="inlineStr">
        <is>
          <t>mf</t>
        </is>
      </c>
      <c r="F481" s="8" t="n">
        <v>2017</v>
      </c>
      <c r="G481" s="5" t="inlineStr">
        <is>
          <t>vintage 2017 is 36 years from the subject's 1981, outside the +/-10-year band</t>
        </is>
      </c>
    </row>
    <row r="482">
      <c r="A482" s="5" t="inlineStr">
        <is>
          <t>Sands Apartments</t>
        </is>
      </c>
      <c r="B482" s="5" t="inlineStr">
        <is>
          <t>2305 E Main St, Mesa, AZ 85213</t>
        </is>
      </c>
      <c r="C482" s="10" t="n">
        <v>9.93</v>
      </c>
      <c r="D482" s="7" t="n">
        <v>141</v>
      </c>
      <c r="E482" s="5" t="inlineStr">
        <is>
          <t>mf</t>
        </is>
      </c>
      <c r="F482" s="8" t="n">
        <v>1986</v>
      </c>
      <c r="G482" s="5" t="inlineStr">
        <is>
          <t>outside the service's preselection of 20: its rents are tracked but no unit group was quoted for it, so it is listed nearby</t>
        </is>
      </c>
    </row>
    <row r="483">
      <c r="A483" s="5" t="inlineStr">
        <is>
          <t>Cadia Crossing</t>
        </is>
      </c>
      <c r="B483" s="5" t="inlineStr">
        <is>
          <t>230 E Civic Center Dr, Gilbert, AZ 85296</t>
        </is>
      </c>
      <c r="C483" s="10" t="n">
        <v>9.949999999999999</v>
      </c>
      <c r="D483" s="7" t="n">
        <v>256</v>
      </c>
      <c r="E483" s="5" t="inlineStr">
        <is>
          <t>mf</t>
        </is>
      </c>
      <c r="F483" s="8" t="n">
        <v>2017</v>
      </c>
      <c r="G483" s="5" t="inlineStr">
        <is>
          <t>vintage 2017 is 36 years from the subject's 1981, outside the +/-10-year band</t>
        </is>
      </c>
    </row>
    <row r="484">
      <c r="A484" s="5" t="inlineStr">
        <is>
          <t>La Terraza at the Biltmore</t>
        </is>
      </c>
      <c r="B484" s="5" t="inlineStr">
        <is>
          <t>4644 N 22nd St, Phoenix, AZ 85016</t>
        </is>
      </c>
      <c r="C484" s="10" t="n">
        <v>9.960000000000001</v>
      </c>
      <c r="D484" s="7" t="n">
        <v>224</v>
      </c>
      <c r="E484" s="5" t="inlineStr">
        <is>
          <t>mf</t>
        </is>
      </c>
      <c r="F484" s="8" t="n">
        <v>1997</v>
      </c>
      <c r="G484" s="5" t="inlineStr">
        <is>
          <t>vintage 1997 is 16 years from the subject's 1981, outside the +/-10-year band</t>
        </is>
      </c>
    </row>
    <row r="485">
      <c r="A485" s="5" t="inlineStr">
        <is>
          <t>The Thomas at Midtown</t>
        </is>
      </c>
      <c r="B485" s="5" t="inlineStr">
        <is>
          <t>200 E Thomas Rd, Phoenix, AZ 85012-3113</t>
        </is>
      </c>
      <c r="C485" s="10" t="n">
        <v>9.960000000000001</v>
      </c>
      <c r="D485" s="7" t="n">
        <v>225</v>
      </c>
      <c r="E485" s="5" t="inlineStr">
        <is>
          <t>mf</t>
        </is>
      </c>
      <c r="F485" s="8" t="n">
        <v>2017</v>
      </c>
      <c r="G485" s="5" t="inlineStr">
        <is>
          <t>vintage 2017 is 36 years from the subject's 1981, outside the +/-10-year band</t>
        </is>
      </c>
    </row>
    <row r="486">
      <c r="A486" s="5" t="inlineStr">
        <is>
          <t>Cortland Biltmore</t>
        </is>
      </c>
      <c r="B486" s="5" t="inlineStr">
        <is>
          <t>2727 E Camelback Rd, Phoenix, AZ 85016-4302</t>
        </is>
      </c>
      <c r="C486" s="10" t="n">
        <v>9.98</v>
      </c>
      <c r="D486" s="7" t="n">
        <v>253</v>
      </c>
      <c r="E486" s="5" t="inlineStr">
        <is>
          <t>mf</t>
        </is>
      </c>
      <c r="F486" s="8" t="n">
        <v>2019</v>
      </c>
      <c r="G486" s="5" t="inlineStr">
        <is>
          <t>vintage 2019 is 38 years from the subject's 1981, outside the +/-10-year band</t>
        </is>
      </c>
    </row>
    <row r="487">
      <c r="A487" s="5" t="inlineStr">
        <is>
          <t>MAA Central Ave</t>
        </is>
      </c>
      <c r="B487" s="5" t="inlineStr">
        <is>
          <t>31 E Thomas Rd, Phoenix, AZ 85012-3101</t>
        </is>
      </c>
      <c r="C487" s="10" t="n">
        <v>10</v>
      </c>
      <c r="D487" s="7" t="n">
        <v>323</v>
      </c>
      <c r="E487" s="5" t="inlineStr">
        <is>
          <t>mf</t>
        </is>
      </c>
      <c r="F487" s="8" t="n">
        <v>2022</v>
      </c>
      <c r="G487" s="5" t="inlineStr">
        <is>
          <t>vintage 2022 is 41 years from the subject's 1981, outside the +/-10-year band</t>
        </is>
      </c>
    </row>
    <row r="488"/>
    <row r="489">
      <c r="A489" s="4" t="inlineStr">
        <is>
          <t>By bed count — like for like</t>
        </is>
      </c>
      <c r="B489" s="4" t="n"/>
      <c r="C489" s="4" t="n"/>
      <c r="D489" s="4" t="n"/>
      <c r="E489" s="4" t="n"/>
    </row>
    <row r="490">
      <c r="A490" s="14" t="inlineStr">
        <is>
          <t>Beds</t>
        </is>
      </c>
      <c r="B490" s="14" t="inlineStr">
        <is>
          <t>Communities</t>
        </is>
      </c>
      <c r="C490" s="14" t="inlineStr">
        <is>
          <t>Plans</t>
        </is>
      </c>
      <c r="D490" s="14" t="inlineStr">
        <is>
          <t>Avg asking</t>
        </is>
      </c>
      <c r="E490" s="14" t="inlineStr">
        <is>
          <t>Avg net effective</t>
        </is>
      </c>
    </row>
    <row r="491">
      <c r="A491" s="5" t="inlineStr">
        <is>
          <t>Studio</t>
        </is>
      </c>
      <c r="B491" s="7" t="n">
        <v>3</v>
      </c>
      <c r="C491" s="7" t="n">
        <v>4</v>
      </c>
      <c r="D491" s="7" t="n">
        <v>926.75</v>
      </c>
      <c r="E491" s="7" t="n">
        <v>882.75</v>
      </c>
    </row>
    <row r="492">
      <c r="A492" s="5" t="inlineStr">
        <is>
          <t>1 bed</t>
        </is>
      </c>
      <c r="B492" s="7" t="n">
        <v>8</v>
      </c>
      <c r="C492" s="7" t="n">
        <v>11</v>
      </c>
      <c r="D492" s="7" t="n">
        <v>1098.545454545455</v>
      </c>
      <c r="E492" s="7" t="n">
        <v>1054.090909090909</v>
      </c>
    </row>
    <row r="493">
      <c r="A493" s="5" t="inlineStr">
        <is>
          <t>2 bed</t>
        </is>
      </c>
      <c r="B493" s="7" t="n">
        <v>7</v>
      </c>
      <c r="C493" s="7" t="n">
        <v>12</v>
      </c>
      <c r="D493" s="7" t="n">
        <v>1257</v>
      </c>
      <c r="E493" s="7" t="n">
        <v>1199</v>
      </c>
    </row>
    <row r="494"/>
    <row r="495">
      <c r="A495" s="4" t="inlineStr">
        <is>
          <t>Subject versus comp set — detailed tiers only</t>
        </is>
      </c>
      <c r="B495" s="4" t="n"/>
      <c r="C495" s="4" t="n"/>
      <c r="D495" s="4" t="n"/>
    </row>
    <row r="496">
      <c r="A496" s="5" t="inlineStr">
        <is>
          <t>Subject market rent</t>
        </is>
      </c>
      <c r="B496" s="7" t="n">
        <v>1834.78</v>
      </c>
      <c r="C496" s="6" t="inlineStr">
        <is>
          <t>Unit-weighted market rent for model, whole property.</t>
        </is>
      </c>
    </row>
    <row r="497">
      <c r="A497" s="5" t="inlineStr">
        <is>
          <t>Comp-set average asking</t>
        </is>
      </c>
      <c r="B497" s="7">
        <f>IFERROR(AVERAGE(H8:H21,H25:H37),"")</f>
        <v/>
      </c>
      <c r="C497" s="6" t="inlineStr">
        <is>
          <t>Over 8 communities in the detailed tiers (top 5 plus next 15) — never the whole radius.</t>
        </is>
      </c>
    </row>
    <row r="498">
      <c r="A498" s="5" t="inlineStr">
        <is>
          <t>Comp-set average net effective</t>
        </is>
      </c>
      <c r="B498" s="7">
        <f>IFERROR(AVERAGE(J8:J21,J25:J37),"")</f>
        <v/>
      </c>
    </row>
    <row r="499">
      <c r="A499" s="5" t="inlineStr">
        <is>
          <t>Comp set, mix-matched</t>
        </is>
      </c>
      <c r="B499" s="7" t="n">
        <v>1134.825974025974</v>
      </c>
      <c r="C499" s="6" t="inlineStr">
        <is>
          <t>Each bed count's comp net-effective weighted by the subject's own unit mix, so both sides describe the same product.</t>
        </is>
      </c>
    </row>
    <row r="500">
      <c r="A500" s="5" t="inlineStr">
        <is>
          <t>Subject rent, same bed counts</t>
        </is>
      </c>
      <c r="B500" s="7" t="n">
        <v>1725.057142857143</v>
      </c>
      <c r="C500" s="6" t="inlineStr">
        <is>
          <t>Restricted to the bed counts the comp set covers: [1, 2].</t>
        </is>
      </c>
    </row>
    <row r="501">
      <c r="A501" s="5" t="inlineStr">
        <is>
          <t>Mix coverage</t>
        </is>
      </c>
      <c r="B501" s="11" t="n">
        <v>0.7777777777777778</v>
      </c>
      <c r="C501" s="6" t="inlineStr">
        <is>
          <t>Share of the subject's units actually compared, by bed count and priced plan.</t>
        </is>
      </c>
    </row>
    <row r="502">
      <c r="A502" s="5" t="inlineStr">
        <is>
          <t>Subject vs comp set (mix-matched)</t>
        </is>
      </c>
      <c r="B502" s="5" t="inlineStr">
        <is>
          <t>WITHHELD</t>
        </is>
      </c>
      <c r="C502" s="6" t="inlineStr">
        <is>
          <t>Spread withheld: the comp set covers only 78% of the subject's units by bed count, below the 80% floor. A headline number off that little of the property would describe the mix, not the market.</t>
        </is>
      </c>
    </row>
    <row r="503"/>
    <row r="504">
      <c r="A504" s="4" t="inlineStr">
        <is>
          <t>Two comp sets, selected identically except for the vintage test</t>
        </is>
      </c>
      <c r="B504" s="4" t="n"/>
      <c r="C504" s="4" t="n"/>
      <c r="D504" s="4" t="n"/>
      <c r="E504" s="4" t="n"/>
    </row>
    <row r="505">
      <c r="A505" s="6" t="inlineStr">
        <is>
          <t>Held fixed in both: candidate pool, product test, tracker comp exclusions, radius, closest-20 cap, per-community rent rules, mix weighting. Varied: the +/-10-year vintage test only.</t>
        </is>
      </c>
    </row>
    <row r="506">
      <c r="A506" s="5" t="inlineStr">
        <is>
          <t>Comparison</t>
        </is>
      </c>
      <c r="B506" s="5" t="inlineStr">
        <is>
          <t>WITHHELD</t>
        </is>
      </c>
      <c r="C506" s="6" t="inlineStr">
        <is>
          <t>Withheld: the two comp sets share bed counts covering only 78% of the subject's units, below the 80% floor. A vintage effect measured off that little of the property would describe the mix instead.</t>
        </is>
      </c>
    </row>
    <row r="507"/>
    <row r="508">
      <c r="A508" s="4" t="inlineStr">
        <is>
          <t>Stated in the offering memorandum</t>
        </is>
      </c>
      <c r="B508" s="4" t="n"/>
      <c r="C508" s="4" t="n"/>
      <c r="D508" s="4" t="n"/>
      <c r="E508" s="4" t="n"/>
      <c r="F508" s="4" t="n"/>
      <c r="G508" s="4" t="n"/>
      <c r="H508" s="4" t="n"/>
      <c r="I508" s="4" t="n"/>
      <c r="J508" s="4" t="n"/>
    </row>
    <row r="509">
      <c r="A509" s="2" t="inlineStr">
        <is>
          <t>The sample is synthetic and has no offering memorandum, so there are no stated comparables to read.</t>
        </is>
      </c>
    </row>
    <row r="510">
      <c r="A510"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Internal pipeline only</t>
        </is>
      </c>
      <c r="C6" s="6" t="inlineStr">
        <is>
          <t>The internal pipeline reads the parcel, tax district, assessed value, exemption and billed amount off the county assessor's portal; the demo shows the county's published rate only.</t>
        </is>
      </c>
      <c r="D6" s="6" t="inlineStr">
        <is>
          <t>Internal pipeline only</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5" t="inlineStr">
        <is>
          <t>MISSING</t>
        </is>
      </c>
      <c r="C20" s="6" t="inlineStr">
        <is>
          <t>As billed for a year the source did not state.</t>
        </is>
      </c>
      <c r="D20" s="6" t="inlineStr">
        <is>
          <t>Internal pipeline only</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503391.9</v>
      </c>
      <c r="C23" s="6" t="inlineStr">
        <is>
          <t>As billed in the uploaded statement over its twelve months — the operator's ledger, not the county's bill, which the demo does not fetch.</t>
        </is>
      </c>
      <c r="D23" s="6" t="inlineStr">
        <is>
          <t>the synthetic trailing-twelve statement — Property Taxes lines (computed)</t>
        </is>
      </c>
    </row>
    <row r="24">
      <c r="A24" s="5" t="inlineStr">
        <is>
          <t>Per-unit sanity band</t>
        </is>
      </c>
      <c r="B24" s="12" t="n"/>
      <c r="C24" s="6" t="inlineStr">
        <is>
          <t>OUTSIDE the band (the statement's line per unit): $2,797 per unit a year is outside the AZ band of $400–$2,600 — double-check the rate, its unit and the assessment ratio against the bill or the statement. The band is a typical range, not a rule: a new-build can sit above it.</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38700000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3870000</v>
      </c>
      <c r="C36" s="6" t="inlineStr">
        <is>
          <t>Purchase price times the assessment ratio — the pattern that holds in most states.</t>
        </is>
      </c>
    </row>
    <row r="37">
      <c r="A37" s="5" t="inlineStr">
        <is>
          <t>Tax on that basis</t>
        </is>
      </c>
      <c r="B37" s="7" t="n">
        <v>396957.5100000001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8909.209598777274</v>
      </c>
      <c r="C10" s="7" t="n">
        <v>53120.57256167688</v>
      </c>
      <c r="D10" s="7" t="n">
        <v>128518.0667118488</v>
      </c>
      <c r="E10" s="7" t="n">
        <v>436136.7938683484</v>
      </c>
      <c r="F10" s="7" t="n">
        <v>1790242</v>
      </c>
      <c r="G10" s="7" t="n">
        <v>2705878</v>
      </c>
      <c r="H10" s="7" t="n">
        <v>126817580</v>
      </c>
    </row>
    <row r="11">
      <c r="A11" s="5" t="inlineStr">
        <is>
          <t>Households (2024 actual)</t>
        </is>
      </c>
      <c r="B11" s="7" t="n">
        <v>9753</v>
      </c>
      <c r="C11" s="7" t="n">
        <v>54949</v>
      </c>
      <c r="D11" s="7" t="n">
        <v>133511</v>
      </c>
      <c r="E11" s="7" t="n">
        <v>453251</v>
      </c>
      <c r="F11" s="7" t="n">
        <v>1892613</v>
      </c>
      <c r="G11" s="7" t="n">
        <v>2856081</v>
      </c>
      <c r="H11" s="7" t="n">
        <v>129227496</v>
      </c>
    </row>
    <row r="12">
      <c r="A12" s="5" t="inlineStr">
        <is>
          <t>Growth 2020 to 2024</t>
        </is>
      </c>
      <c r="B12" s="11" t="n">
        <v>0.09470990572929505</v>
      </c>
      <c r="C12" s="11" t="n">
        <v>0.03442032625307601</v>
      </c>
      <c r="D12" s="11" t="n">
        <v>0.0388500497704023</v>
      </c>
      <c r="E12" s="11" t="n">
        <v>0.039240454766166</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10196.82245625</v>
      </c>
      <c r="C14" s="7" t="n">
        <v>57449.52293124999</v>
      </c>
      <c r="D14" s="7" t="n">
        <v>139586.58494375</v>
      </c>
      <c r="E14" s="7" t="n">
        <v>473876.75331875</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21487</v>
      </c>
      <c r="C18" s="7" t="n">
        <v>133667</v>
      </c>
      <c r="D18" s="7" t="n">
        <v>313815</v>
      </c>
      <c r="E18" s="7" t="n">
        <v>1103842</v>
      </c>
      <c r="F18" s="7" t="n">
        <v>4845832</v>
      </c>
      <c r="G18" s="7" t="n">
        <v>7151502</v>
      </c>
      <c r="H18" s="7" t="n">
        <v>331449281</v>
      </c>
    </row>
    <row r="19">
      <c r="A19" s="5" t="inlineStr">
        <is>
          <t>Population (2024 actual)</t>
        </is>
      </c>
      <c r="B19" s="7" t="n">
        <v>23081</v>
      </c>
      <c r="C19" s="7" t="n">
        <v>137691</v>
      </c>
      <c r="D19" s="7" t="n">
        <v>322298</v>
      </c>
      <c r="E19" s="7" t="n">
        <v>1114288</v>
      </c>
      <c r="F19" s="7" t="n">
        <v>5028754</v>
      </c>
      <c r="G19" s="7" t="n">
        <v>7378838</v>
      </c>
      <c r="H19" s="7" t="n">
        <v>334922499</v>
      </c>
    </row>
    <row r="20">
      <c r="A20" s="5" t="inlineStr">
        <is>
          <t>Growth 2020 to 2024</t>
        </is>
      </c>
      <c r="B20" s="11" t="n">
        <v>0.07418439056173498</v>
      </c>
      <c r="C20" s="11" t="n">
        <v>0.03010466308064075</v>
      </c>
      <c r="D20" s="11" t="n">
        <v>0.02703184997530395</v>
      </c>
      <c r="E20" s="11" t="n">
        <v>0.009463310872389386</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23591.574801</v>
      </c>
      <c r="C22" s="7" t="n">
        <v>140736.862611</v>
      </c>
      <c r="D22" s="7" t="n">
        <v>329427.5540579999</v>
      </c>
      <c r="E22" s="7" t="n">
        <v>1138937.164848</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1162</v>
      </c>
      <c r="C27" s="7" t="n">
        <v>6639</v>
      </c>
      <c r="D27" s="7" t="n">
        <v>17252</v>
      </c>
      <c r="E27" s="7" t="n">
        <v>58745</v>
      </c>
      <c r="F27" s="7" t="n">
        <v>211506</v>
      </c>
      <c r="G27" s="7" t="n">
        <v>384330</v>
      </c>
      <c r="H27" s="7" t="n">
        <v>18908588</v>
      </c>
    </row>
    <row r="28">
      <c r="A28" s="5" t="inlineStr">
        <is>
          <t xml:space="preserve">    $25,000 - $49,999</t>
        </is>
      </c>
      <c r="B28" s="7" t="n">
        <v>2178</v>
      </c>
      <c r="C28" s="7" t="n">
        <v>8316</v>
      </c>
      <c r="D28" s="7" t="n">
        <v>20951</v>
      </c>
      <c r="E28" s="7" t="n">
        <v>70916</v>
      </c>
      <c r="F28" s="7" t="n">
        <v>288010</v>
      </c>
      <c r="G28" s="7" t="n">
        <v>488306</v>
      </c>
      <c r="H28" s="7" t="n">
        <v>21624902</v>
      </c>
    </row>
    <row r="29">
      <c r="A29" s="5" t="inlineStr">
        <is>
          <t xml:space="preserve">    $50,000 - $74,999</t>
        </is>
      </c>
      <c r="B29" s="7" t="n">
        <v>2612</v>
      </c>
      <c r="C29" s="7" t="n">
        <v>10939</v>
      </c>
      <c r="D29" s="7" t="n">
        <v>23208</v>
      </c>
      <c r="E29" s="7" t="n">
        <v>77840</v>
      </c>
      <c r="F29" s="7" t="n">
        <v>302932</v>
      </c>
      <c r="G29" s="7" t="n">
        <v>472147</v>
      </c>
      <c r="H29" s="7" t="n">
        <v>20031683</v>
      </c>
    </row>
    <row r="30">
      <c r="A30" s="5" t="inlineStr">
        <is>
          <t xml:space="preserve">    $75,000 - $99,999</t>
        </is>
      </c>
      <c r="B30" s="7" t="n">
        <v>1171</v>
      </c>
      <c r="C30" s="7" t="n">
        <v>6949</v>
      </c>
      <c r="D30" s="7" t="n">
        <v>17169</v>
      </c>
      <c r="E30" s="7" t="n">
        <v>61347</v>
      </c>
      <c r="F30" s="7" t="n">
        <v>259375</v>
      </c>
      <c r="G30" s="7" t="n">
        <v>385994</v>
      </c>
      <c r="H30" s="7" t="n">
        <v>16319799</v>
      </c>
    </row>
    <row r="31">
      <c r="A31" s="5" t="inlineStr">
        <is>
          <t xml:space="preserve">    $100,000 - $124,999</t>
        </is>
      </c>
      <c r="B31" s="7" t="n">
        <v>1037</v>
      </c>
      <c r="C31" s="7" t="n">
        <v>7040</v>
      </c>
      <c r="D31" s="7" t="n">
        <v>15971</v>
      </c>
      <c r="E31" s="7" t="n">
        <v>50507</v>
      </c>
      <c r="F31" s="7" t="n">
        <v>217512</v>
      </c>
      <c r="G31" s="7" t="n">
        <v>308860</v>
      </c>
      <c r="H31" s="7" t="n">
        <v>13068961</v>
      </c>
    </row>
    <row r="32">
      <c r="A32" s="5" t="inlineStr">
        <is>
          <t xml:space="preserve">    $125,000 - $149,999</t>
        </is>
      </c>
      <c r="B32" s="7" t="n">
        <v>777</v>
      </c>
      <c r="C32" s="7" t="n">
        <v>4263</v>
      </c>
      <c r="D32" s="7" t="n">
        <v>10593</v>
      </c>
      <c r="E32" s="7" t="n">
        <v>34836</v>
      </c>
      <c r="F32" s="7" t="n">
        <v>156498</v>
      </c>
      <c r="G32" s="7" t="n">
        <v>216619</v>
      </c>
      <c r="H32" s="7" t="n">
        <v>9601960</v>
      </c>
    </row>
    <row r="33">
      <c r="A33" s="5" t="inlineStr">
        <is>
          <t xml:space="preserve">    $150,000 - $199,999</t>
        </is>
      </c>
      <c r="B33" s="7" t="n">
        <v>417</v>
      </c>
      <c r="C33" s="7" t="n">
        <v>5185</v>
      </c>
      <c r="D33" s="7" t="n">
        <v>13254</v>
      </c>
      <c r="E33" s="7" t="n">
        <v>45456</v>
      </c>
      <c r="F33" s="7" t="n">
        <v>198896</v>
      </c>
      <c r="G33" s="7" t="n">
        <v>269589</v>
      </c>
      <c r="H33" s="7" t="n">
        <v>12405370</v>
      </c>
    </row>
    <row r="34">
      <c r="A34" s="5" t="inlineStr">
        <is>
          <t xml:space="preserve">    $200,000 and over</t>
        </is>
      </c>
      <c r="B34" s="7" t="n">
        <v>398</v>
      </c>
      <c r="C34" s="7" t="n">
        <v>5618</v>
      </c>
      <c r="D34" s="7" t="n">
        <v>15112</v>
      </c>
      <c r="E34" s="7" t="n">
        <v>53602</v>
      </c>
      <c r="F34" s="7" t="n">
        <v>257884</v>
      </c>
      <c r="G34" s="7" t="n">
        <v>330236</v>
      </c>
      <c r="H34" s="7" t="n">
        <v>17266233</v>
      </c>
    </row>
    <row r="35">
      <c r="A35" s="5" t="inlineStr">
        <is>
          <t>Subtotal $50,000 and over</t>
        </is>
      </c>
      <c r="B35" s="7" t="n">
        <v>6412</v>
      </c>
      <c r="C35" s="7" t="n">
        <v>39993</v>
      </c>
      <c r="D35" s="7" t="n">
        <v>95308</v>
      </c>
      <c r="E35" s="7" t="n">
        <v>323590</v>
      </c>
      <c r="F35" s="7" t="n">
        <v>1393097</v>
      </c>
      <c r="G35" s="7" t="n">
        <v>1983445</v>
      </c>
      <c r="H35" s="7" t="n">
        <v>88694006</v>
      </c>
    </row>
    <row r="36">
      <c r="A36" s="5" t="inlineStr">
        <is>
          <t xml:space="preserve">   share of households</t>
        </is>
      </c>
      <c r="B36" s="11" t="n">
        <v>0.657</v>
      </c>
      <c r="C36" s="11" t="n">
        <v>0.728</v>
      </c>
      <c r="D36" s="11" t="n">
        <v>0.7140000000000001</v>
      </c>
      <c r="E36" s="11" t="n">
        <v>0.7140000000000001</v>
      </c>
      <c r="F36" s="11" t="n">
        <v>0.736</v>
      </c>
      <c r="G36" s="11" t="n">
        <v>0.6940000000000001</v>
      </c>
      <c r="H36" s="11" t="n">
        <v>0.6859999999999999</v>
      </c>
    </row>
    <row r="37">
      <c r="A37" s="5" t="inlineStr">
        <is>
          <t>Subtotal $100,000 and over</t>
        </is>
      </c>
      <c r="B37" s="7" t="n">
        <v>2629</v>
      </c>
      <c r="C37" s="7" t="n">
        <v>22105</v>
      </c>
      <c r="D37" s="7" t="n">
        <v>54931</v>
      </c>
      <c r="E37" s="7" t="n">
        <v>184403</v>
      </c>
      <c r="F37" s="7" t="n">
        <v>830790</v>
      </c>
      <c r="G37" s="7" t="n">
        <v>1125304</v>
      </c>
      <c r="H37" s="7" t="n">
        <v>52342524</v>
      </c>
    </row>
    <row r="38">
      <c r="A38" s="5" t="inlineStr">
        <is>
          <t xml:space="preserve">   share of households</t>
        </is>
      </c>
      <c r="B38" s="11" t="n">
        <v>0.27</v>
      </c>
      <c r="C38" s="11" t="n">
        <v>0.402</v>
      </c>
      <c r="D38" s="11" t="n">
        <v>0.411</v>
      </c>
      <c r="E38" s="11" t="n">
        <v>0.407</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79995</v>
      </c>
      <c r="C43" s="7" t="n">
        <v>103512</v>
      </c>
      <c r="D43" s="7" t="n">
        <v>107370</v>
      </c>
      <c r="E43" s="7" t="n">
        <v>111454</v>
      </c>
      <c r="F43" s="7" t="n">
        <v>118255</v>
      </c>
      <c r="G43" s="7" t="n">
        <v>108273</v>
      </c>
      <c r="H43" s="7" t="n">
        <v>113530</v>
      </c>
    </row>
    <row r="44">
      <c r="A44" s="5" t="inlineStr">
        <is>
          <t>Median household income (2024)</t>
        </is>
      </c>
      <c r="B44" s="7" t="n">
        <v>66583</v>
      </c>
      <c r="C44" s="7" t="n">
        <v>80683</v>
      </c>
      <c r="D44" s="7" t="n">
        <v>82782</v>
      </c>
      <c r="E44" s="7" t="n">
        <v>82794</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90221.88078000001</v>
      </c>
      <c r="C46" s="7" t="n">
        <v>116745.388128</v>
      </c>
      <c r="D46" s="7" t="n">
        <v>121096.61028</v>
      </c>
      <c r="E46" s="7" t="n">
        <v>125702.725176</v>
      </c>
      <c r="F46" s="7" t="n">
        <v>133373.19222</v>
      </c>
      <c r="G46" s="7" t="n">
        <v>122115.053412</v>
      </c>
      <c r="H46" s="7" t="n">
        <v>128044.12932</v>
      </c>
    </row>
    <row r="47">
      <c r="A47" s="5" t="inlineStr">
        <is>
          <t>Renter share</t>
        </is>
      </c>
      <c r="B47" s="11" t="n">
        <v>0.6870000000000001</v>
      </c>
      <c r="C47" s="11" t="n">
        <v>0.516</v>
      </c>
      <c r="D47" s="11" t="n">
        <v>0.516</v>
      </c>
      <c r="E47" s="11" t="n">
        <v>0.482</v>
      </c>
      <c r="F47" s="11" t="n">
        <v>0.334</v>
      </c>
      <c r="G47" s="11" t="n">
        <v>0.326</v>
      </c>
      <c r="H47" s="11" t="n">
        <v>0.348</v>
      </c>
    </row>
    <row r="48">
      <c r="A48" s="5" t="inlineStr">
        <is>
          <t>Rent-to-income at $1,795/mo (subject in-place rent)</t>
        </is>
      </c>
      <c r="B48" s="11" t="n">
        <v>0.2693208325520345</v>
      </c>
      <c r="C48" s="11" t="n">
        <v>0.2081335497333642</v>
      </c>
      <c r="D48" s="11" t="n">
        <v>0.2006549315451243</v>
      </c>
      <c r="E48" s="11" t="n">
        <v>0.1933023489511368</v>
      </c>
      <c r="F48" s="11" t="n">
        <v>0.1821852775781151</v>
      </c>
      <c r="G48" s="11" t="n">
        <v>0.1989814635227619</v>
      </c>
      <c r="H48" s="11" t="n">
        <v>0.189767638509645</v>
      </c>
      <c r="I48" s="2" t="inlineStr">
        <is>
          <t>Against 2024 average household income by ring; the rent is the uploaded roll's unit-weighted in-place rent.</t>
        </is>
      </c>
    </row>
    <row r="50">
      <c r="A50" s="4" t="inlineStr">
        <is>
          <t>Home value — ZIP 85283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451575.7278</v>
      </c>
    </row>
    <row r="54">
      <c r="A54" s="5" t="inlineStr">
        <is>
          <t>Metro home value</t>
        </is>
      </c>
      <c r="B54" s="7" t="n">
        <v>446248.25</v>
      </c>
    </row>
    <row r="55">
      <c r="A55" s="5" t="inlineStr">
        <is>
          <t>ZIP vs metro</t>
        </is>
      </c>
      <c r="B55" s="11" t="n">
        <v>0.01193837241938756</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0.062</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2019</t>
        </is>
      </c>
      <c r="B62" s="7" t="n">
        <v>10815</v>
      </c>
      <c r="C62" s="7" t="n">
        <v>141405</v>
      </c>
      <c r="D62" s="7" t="n">
        <v>356558</v>
      </c>
      <c r="E62" s="7" t="n">
        <v>919433</v>
      </c>
      <c r="F62" s="12" t="n"/>
      <c r="G62" s="12" t="n"/>
      <c r="H62" s="12" t="n"/>
    </row>
    <row r="63">
      <c r="A63" s="5" t="inlineStr">
        <is>
          <t xml:space="preserve">    2020</t>
        </is>
      </c>
      <c r="B63" s="7" t="n">
        <v>9992</v>
      </c>
      <c r="C63" s="7" t="n">
        <v>137701</v>
      </c>
      <c r="D63" s="7" t="n">
        <v>355835</v>
      </c>
      <c r="E63" s="7" t="n">
        <v>902942</v>
      </c>
      <c r="F63" s="12" t="n"/>
      <c r="G63" s="12" t="n"/>
      <c r="H63" s="12" t="n"/>
    </row>
    <row r="64">
      <c r="A64" s="5" t="inlineStr">
        <is>
          <t xml:space="preserve">    2021</t>
        </is>
      </c>
      <c r="B64" s="7" t="n">
        <v>9308</v>
      </c>
      <c r="C64" s="7" t="n">
        <v>135142</v>
      </c>
      <c r="D64" s="7" t="n">
        <v>354487</v>
      </c>
      <c r="E64" s="7" t="n">
        <v>906076</v>
      </c>
      <c r="F64" s="12" t="n"/>
      <c r="G64" s="12" t="n"/>
      <c r="H64" s="12" t="n"/>
    </row>
    <row r="65">
      <c r="A65" s="5" t="inlineStr">
        <is>
          <t xml:space="preserve">    2022</t>
        </is>
      </c>
      <c r="B65" s="7" t="n">
        <v>10448</v>
      </c>
      <c r="C65" s="7" t="n">
        <v>140698</v>
      </c>
      <c r="D65" s="7" t="n">
        <v>366925</v>
      </c>
      <c r="E65" s="7" t="n">
        <v>943785</v>
      </c>
      <c r="F65" s="12" t="n"/>
      <c r="G65" s="12" t="n"/>
      <c r="H65" s="12" t="n"/>
    </row>
    <row r="66">
      <c r="A66" s="5" t="inlineStr">
        <is>
          <t xml:space="preserve">    2023  (latest)</t>
        </is>
      </c>
      <c r="B66" s="7" t="n">
        <v>11017</v>
      </c>
      <c r="C66" s="7" t="n">
        <v>151760</v>
      </c>
      <c r="D66" s="7" t="n">
        <v>386375</v>
      </c>
      <c r="E66" s="7" t="n">
        <v>988197</v>
      </c>
      <c r="F66" s="12" t="n"/>
      <c r="G66" s="12" t="n"/>
      <c r="H66" s="12" t="n"/>
    </row>
    <row r="67">
      <c r="A67" s="5" t="inlineStr">
        <is>
          <t xml:space="preserve">    Job growth 2019 to 2023</t>
        </is>
      </c>
      <c r="B67" s="11" t="n">
        <v>0.01867776236708285</v>
      </c>
      <c r="C67" s="11" t="n">
        <v>0.07322937661327389</v>
      </c>
      <c r="D67" s="11" t="n">
        <v>0.08362454355252158</v>
      </c>
      <c r="E67" s="11" t="n">
        <v>0.07478957139889486</v>
      </c>
      <c r="F67" s="12" t="n"/>
      <c r="G67" s="12" t="n"/>
      <c r="H67" s="12" t="n"/>
      <c r="I67" s="2" t="inlineStr">
        <is>
          <t>Already a fraction in the engine's output, unlike the rates above.</t>
        </is>
      </c>
    </row>
    <row r="68">
      <c r="A68" s="5" t="inlineStr">
        <is>
          <t xml:space="preserve">    Job CAGR (4-yr)</t>
        </is>
      </c>
      <c r="B68" s="11" t="n">
        <v>0.004637086904432985</v>
      </c>
      <c r="C68" s="11" t="n">
        <v>0.01782505636127385</v>
      </c>
      <c r="D68" s="11" t="n">
        <v>0.02028078644925135</v>
      </c>
      <c r="E68" s="11" t="n">
        <v>0.01819476772248052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-0.02629427542621987</v>
      </c>
      <c r="D78" s="11" t="n">
        <v>0.0728</v>
      </c>
    </row>
    <row r="79">
      <c r="A79" s="12" t="n">
        <v>2019</v>
      </c>
      <c r="B79" s="10" t="n">
        <v>2177.28</v>
      </c>
      <c r="C79" s="11" t="n">
        <v>0.03380688292942358</v>
      </c>
      <c r="D79" s="11" t="n">
        <v>0.0413</v>
      </c>
    </row>
    <row r="80">
      <c r="A80" s="12" t="n">
        <v>2018</v>
      </c>
      <c r="B80" s="10" t="n">
        <v>2106.08</v>
      </c>
      <c r="C80" s="11" t="n">
        <v>0.03344079531681654</v>
      </c>
      <c r="D80" s="11" t="n">
        <v>0.0415</v>
      </c>
    </row>
    <row r="81">
      <c r="A81" s="12" t="n">
        <v>2017</v>
      </c>
      <c r="B81" s="10" t="n">
        <v>2037.93</v>
      </c>
      <c r="C81" s="11" t="n">
        <v>0.03009517840264042</v>
      </c>
      <c r="D81" s="11" t="n">
        <v>0.04269999999999999</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0.04574748116547155</v>
      </c>
      <c r="C87" s="11" t="n">
        <v>0.08115338490531226</v>
      </c>
      <c r="D87" s="11" t="n">
        <v>0.1037279748224527</v>
      </c>
      <c r="E87" s="11" t="n">
        <v>0.1279087064623754</v>
      </c>
      <c r="F87" s="11" t="n">
        <v>0.1439230188830762</v>
      </c>
      <c r="G87" s="11" t="n">
        <v>0.1480747084992491</v>
      </c>
      <c r="H87" s="11" t="n">
        <v>0.1524112221376376</v>
      </c>
      <c r="I87" s="2" t="inlineStr">
        <is>
          <t>Location quotient vs U.S.: 0.94x — less concentrated here.</t>
        </is>
      </c>
    </row>
    <row r="88">
      <c r="A88" s="5" t="inlineStr">
        <is>
          <t>Retail Trade</t>
        </is>
      </c>
      <c r="B88" s="11" t="n">
        <v>0.1528546791322501</v>
      </c>
      <c r="C88" s="11" t="n">
        <v>0.08427010714144516</v>
      </c>
      <c r="D88" s="11" t="n">
        <v>0.08385355198045427</v>
      </c>
      <c r="E88" s="11" t="n">
        <v>0.08347121069989082</v>
      </c>
      <c r="F88" s="11" t="n">
        <v>0.1090536545703669</v>
      </c>
      <c r="G88" s="11" t="n">
        <v>0.1100206596769526</v>
      </c>
      <c r="H88" s="11" t="n">
        <v>0.1019921721752688</v>
      </c>
      <c r="I88" s="2" t="inlineStr">
        <is>
          <t>Location quotient vs U.S.: 1.07x — more concentrated here.</t>
        </is>
      </c>
    </row>
    <row r="89">
      <c r="A89" s="5" t="inlineStr">
        <is>
          <t>Accommodation/Food Svcs</t>
        </is>
      </c>
      <c r="B89" s="11" t="n">
        <v>0.05573205046745938</v>
      </c>
      <c r="C89" s="11" t="n">
        <v>0.06298678193487171</v>
      </c>
      <c r="D89" s="11" t="n">
        <v>0.05458413566060004</v>
      </c>
      <c r="E89" s="11" t="n">
        <v>0.07481908971591697</v>
      </c>
      <c r="F89" s="11" t="n">
        <v>0.09153364975214603</v>
      </c>
      <c r="G89" s="11" t="n">
        <v>0.09799831322286184</v>
      </c>
      <c r="H89" s="11" t="n">
        <v>0.09210003364899073</v>
      </c>
      <c r="I89" s="2" t="inlineStr">
        <is>
          <t>Location quotient vs U.S.: 0.99x — less concentrated here.</t>
        </is>
      </c>
    </row>
    <row r="90">
      <c r="A90" s="5" t="inlineStr">
        <is>
          <t>Admin/Support/Waste</t>
        </is>
      </c>
      <c r="B90" s="11" t="n">
        <v>0.1371516746845784</v>
      </c>
      <c r="C90" s="11" t="n">
        <v>0.1268367575545921</v>
      </c>
      <c r="D90" s="11" t="n">
        <v>0.1072504503385303</v>
      </c>
      <c r="E90" s="11" t="n">
        <v>0.08667704921184743</v>
      </c>
      <c r="F90" s="11" t="n">
        <v>0.08654896600644772</v>
      </c>
      <c r="G90" s="11" t="n">
        <v>0.08053357937738248</v>
      </c>
      <c r="H90" s="11" t="n">
        <v>0.06170694540515537</v>
      </c>
      <c r="I90" s="2" t="inlineStr">
        <is>
          <t>Location quotient vs U.S.: 1.40x — more concentrated here.</t>
        </is>
      </c>
    </row>
    <row r="91">
      <c r="A91" s="5" t="inlineStr">
        <is>
          <t>Construction</t>
        </is>
      </c>
      <c r="B91" s="11" t="n">
        <v>0.1699192157574657</v>
      </c>
      <c r="C91" s="11" t="n">
        <v>0.100848697302355</v>
      </c>
      <c r="D91" s="11" t="n">
        <v>0.1042663105368864</v>
      </c>
      <c r="E91" s="11" t="n">
        <v>0.07416031418836527</v>
      </c>
      <c r="F91" s="11" t="n">
        <v>0.07168567465967132</v>
      </c>
      <c r="G91" s="11" t="n">
        <v>0.0692629280579044</v>
      </c>
      <c r="H91" s="11" t="n">
        <v>0.0531750429082045</v>
      </c>
      <c r="I91" s="2" t="inlineStr">
        <is>
          <t>Location quotient vs U.S.: 1.35x — more concentrated here.</t>
        </is>
      </c>
    </row>
    <row r="92">
      <c r="A92" s="5" t="inlineStr">
        <is>
          <t>Educational Services</t>
        </is>
      </c>
      <c r="B92" s="11" t="n">
        <v>0.1238994281564854</v>
      </c>
      <c r="C92" s="11" t="n">
        <v>0.1492204899777283</v>
      </c>
      <c r="D92" s="11" t="n">
        <v>0.09100461726401225</v>
      </c>
      <c r="E92" s="11" t="n">
        <v>0.07139871908131679</v>
      </c>
      <c r="F92" s="11" t="n">
        <v>0.0692937123890178</v>
      </c>
      <c r="G92" s="11" t="n">
        <v>0.07805244418719343</v>
      </c>
      <c r="H92" s="11" t="n">
        <v>0.08463384936674581</v>
      </c>
      <c r="I92" s="2" t="inlineStr">
        <is>
          <t>Location quotient vs U.S.: 0.82x — less concentrated here.</t>
        </is>
      </c>
    </row>
    <row r="93">
      <c r="A93" s="5" t="inlineStr">
        <is>
          <t>Finance/Insurance</t>
        </is>
      </c>
      <c r="B93" s="11" t="n">
        <v>0.01134610147953163</v>
      </c>
      <c r="C93" s="11" t="n">
        <v>0.07340440953598397</v>
      </c>
      <c r="D93" s="11" t="n">
        <v>0.08786777646644719</v>
      </c>
      <c r="E93" s="11" t="n">
        <v>0.07146550738364921</v>
      </c>
      <c r="F93" s="11" t="n">
        <v>0.06699836548547758</v>
      </c>
      <c r="G93" s="11" t="n">
        <v>0.05584002806837911</v>
      </c>
      <c r="H93" s="11" t="n">
        <v>0.04139724841428747</v>
      </c>
      <c r="I93" s="2" t="inlineStr">
        <is>
          <t>Location quotient vs U.S.: 1.62x — more concentrated here.</t>
        </is>
      </c>
    </row>
    <row r="94">
      <c r="A94" s="5" t="inlineStr">
        <is>
          <t>Manufacturing</t>
        </is>
      </c>
      <c r="B94" s="11" t="n">
        <v>0.08840882272851049</v>
      </c>
      <c r="C94" s="11" t="n">
        <v>0.09779127844915064</v>
      </c>
      <c r="D94" s="11" t="n">
        <v>0.09940834834461768</v>
      </c>
      <c r="E94" s="11" t="n">
        <v>0.07170837393758532</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0.06263048016701461</v>
      </c>
      <c r="C95" s="11" t="n">
        <v>0.06841633610521738</v>
      </c>
      <c r="D95" s="11" t="n">
        <v>0.06379278216038263</v>
      </c>
      <c r="E95" s="11" t="n">
        <v>0.06495567179418679</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0.00680766088771898</v>
      </c>
      <c r="C96" s="11" t="n">
        <v>0.02121084329410524</v>
      </c>
      <c r="D96" s="11" t="n">
        <v>0.02985433877880614</v>
      </c>
      <c r="E96" s="11" t="n">
        <v>0.03755121701442121</v>
      </c>
      <c r="F96" s="11" t="n">
        <v>0.0473268911935302</v>
      </c>
      <c r="G96" s="11" t="n">
        <v>0.04326179016785311</v>
      </c>
      <c r="H96" s="11" t="n">
        <v>0.04840196213219566</v>
      </c>
      <c r="I96" s="2" t="inlineStr">
        <is>
          <t>Location quotient vs U.S.: 0.98x — less concentrated here.</t>
        </is>
      </c>
    </row>
    <row r="97">
      <c r="A97" s="5" t="inlineStr">
        <is>
          <t>Wholesale Trade</t>
        </is>
      </c>
      <c r="B97" s="11" t="n">
        <v>0.03104293364799855</v>
      </c>
      <c r="C97" s="11" t="n">
        <v>0.05019701901661813</v>
      </c>
      <c r="D97" s="11" t="n">
        <v>0.05718781704867797</v>
      </c>
      <c r="E97" s="11" t="n">
        <v>0.04501025605218393</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0.001996913860397567</v>
      </c>
      <c r="C98" s="11" t="n">
        <v>0.002352367522831802</v>
      </c>
      <c r="D98" s="11" t="n">
        <v>0.003737292171356399</v>
      </c>
      <c r="E98" s="11" t="n">
        <v>0.06049603469753501</v>
      </c>
      <c r="F98" s="11" t="n">
        <v>0.03285591679200175</v>
      </c>
      <c r="G98" s="11" t="n">
        <v>0.04120792091186574</v>
      </c>
      <c r="H98" s="11" t="n">
        <v>0.04966983338636385</v>
      </c>
      <c r="I98" s="2" t="inlineStr">
        <is>
          <t>Location quotient vs U.S.: 0.66x — less concentrated here.</t>
        </is>
      </c>
    </row>
    <row r="99">
      <c r="A99" s="5" t="inlineStr">
        <is>
          <t>Other Services</t>
        </is>
      </c>
      <c r="B99" s="11" t="n">
        <v>0.02850140691658346</v>
      </c>
      <c r="C99" s="11" t="n">
        <v>0.01894413621328132</v>
      </c>
      <c r="D99" s="11" t="n">
        <v>0.01960525498478166</v>
      </c>
      <c r="E99" s="11" t="n">
        <v>0.02606362901324331</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0.008532268312607788</v>
      </c>
      <c r="C100" s="11" t="n">
        <v>0.0137188492508006</v>
      </c>
      <c r="D100" s="11" t="n">
        <v>0.009296643683872704</v>
      </c>
      <c r="E100" s="11" t="n">
        <v>0.02150279751911815</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0.02160297721702823</v>
      </c>
      <c r="C101" s="11" t="n">
        <v>0.01122151790303238</v>
      </c>
      <c r="D101" s="11" t="n">
        <v>0.02045158084353066</v>
      </c>
      <c r="E101" s="11" t="n">
        <v>0.02288005326873083</v>
      </c>
      <c r="F101" s="11" t="n">
        <v>0.02084382439592392</v>
      </c>
      <c r="G101" s="11" t="n">
        <v>0.01961125167587262</v>
      </c>
      <c r="H101" s="11" t="n">
        <v>0.01586685774361</v>
      </c>
      <c r="I101" s="2" t="inlineStr">
        <is>
          <t>Location quotient vs U.S.: 1.31x — more concentrated here.</t>
        </is>
      </c>
    </row>
    <row r="102">
      <c r="A102" s="5" t="inlineStr">
        <is>
          <t>Information</t>
        </is>
      </c>
      <c r="B102" s="11" t="n">
        <v>0.02396296632477081</v>
      </c>
      <c r="C102" s="11" t="n">
        <v>0.01756697987638539</v>
      </c>
      <c r="D102" s="11" t="n">
        <v>0.02792875333871669</v>
      </c>
      <c r="E102" s="11" t="n">
        <v>0.02441922005430091</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0.01479531632930925</v>
      </c>
      <c r="C103" s="11" t="n">
        <v>0.01833133458968648</v>
      </c>
      <c r="D103" s="11" t="n">
        <v>0.02216493778081454</v>
      </c>
      <c r="E103" s="11" t="n">
        <v>0.02030870362893229</v>
      </c>
      <c r="F103" s="11" t="n">
        <v>0.01809509628913341</v>
      </c>
      <c r="G103" s="11" t="n">
        <v>0.01520137056214125</v>
      </c>
      <c r="H103" s="11" t="n">
        <v>0.0166872404072684</v>
      </c>
      <c r="I103" s="2" t="inlineStr">
        <is>
          <t>Location quotient vs U.S.: 1.08x — more concentrated here.</t>
        </is>
      </c>
    </row>
    <row r="104">
      <c r="A104" s="5" t="inlineStr">
        <is>
          <t>Utilities</t>
        </is>
      </c>
      <c r="B104" s="11" t="n">
        <v>0.0148860851411455</v>
      </c>
      <c r="C104" s="11" t="n">
        <v>0.001219013982419842</v>
      </c>
      <c r="D104" s="11" t="n">
        <v>0.01313228564921217</v>
      </c>
      <c r="E104" s="11" t="n">
        <v>0.01277882851293821</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0.0002767491203331532</v>
      </c>
      <c r="D105" s="11" t="n">
        <v>0.000776445741971551</v>
      </c>
      <c r="E105" s="11" t="n">
        <v>0.0009765259356181005</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0.0001815376236725061</v>
      </c>
      <c r="C106" s="11" t="n">
        <v>3.294632384918491e-05</v>
      </c>
      <c r="D106" s="11" t="n">
        <v>0.0001087024038760171</v>
      </c>
      <c r="E106" s="11" t="n">
        <v>0.001448091827844043</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3</v>
      </c>
      <c r="D8" s="7" t="n">
        <v>174</v>
      </c>
    </row>
    <row r="9">
      <c r="A9" s="5" t="inlineStr">
        <is>
          <t>1 mi</t>
        </is>
      </c>
      <c r="B9" s="5" t="inlineStr">
        <is>
          <t>Permitted</t>
        </is>
      </c>
      <c r="C9" s="7" t="n">
        <v>0</v>
      </c>
      <c r="D9" s="7" t="n">
        <v>0</v>
      </c>
    </row>
    <row r="10">
      <c r="A10" s="5" t="inlineStr">
        <is>
          <t>3 mi</t>
        </is>
      </c>
      <c r="B10" s="5" t="inlineStr">
        <is>
          <t>Entitlement</t>
        </is>
      </c>
      <c r="C10" s="7" t="n">
        <v>22</v>
      </c>
      <c r="D10" s="7" t="n">
        <v>1982</v>
      </c>
    </row>
    <row r="11">
      <c r="A11" s="5" t="inlineStr">
        <is>
          <t>3 mi</t>
        </is>
      </c>
      <c r="B11" s="5" t="inlineStr">
        <is>
          <t>Permitted</t>
        </is>
      </c>
      <c r="C11" s="7" t="n">
        <v>5</v>
      </c>
      <c r="D11" s="7" t="n">
        <v>683</v>
      </c>
    </row>
    <row r="12">
      <c r="A12" s="5" t="inlineStr">
        <is>
          <t>5 mi</t>
        </is>
      </c>
      <c r="B12" s="5" t="inlineStr">
        <is>
          <t>Entitlement</t>
        </is>
      </c>
      <c r="C12" s="7" t="n">
        <v>124</v>
      </c>
      <c r="D12" s="7" t="n">
        <v>21849</v>
      </c>
    </row>
    <row r="13">
      <c r="A13" s="5" t="inlineStr">
        <is>
          <t>5 mi</t>
        </is>
      </c>
      <c r="B13" s="5" t="inlineStr">
        <is>
          <t>Permitted</t>
        </is>
      </c>
      <c r="C13" s="7" t="n">
        <v>57</v>
      </c>
      <c r="D13" s="7" t="n">
        <v>7208</v>
      </c>
    </row>
    <row r="14">
      <c r="A14" s="5" t="inlineStr">
        <is>
          <t>10 mi</t>
        </is>
      </c>
      <c r="B14" s="5" t="inlineStr">
        <is>
          <t>Entitlement</t>
        </is>
      </c>
      <c r="C14" s="7" t="n">
        <v>563</v>
      </c>
      <c r="D14" s="7" t="n">
        <v>57590</v>
      </c>
    </row>
    <row r="15">
      <c r="A15" s="5" t="inlineStr">
        <is>
          <t>10 mi</t>
        </is>
      </c>
      <c r="B15" s="5" t="inlineStr">
        <is>
          <t>Permitted</t>
        </is>
      </c>
      <c r="C15" s="7" t="n">
        <v>299</v>
      </c>
      <c r="D15" s="7" t="n">
        <v>24351</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18"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18"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18"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nearby candidates without letting a distant one outrank a close one. A community the scrape tracks but could not quote is listed nearby with the reason rather than dropped.</t>
        </is>
      </c>
    </row>
    <row r="9">
      <c r="A9" s="5" t="inlineStr">
        <is>
          <t>Comps are matched on vintage</t>
        </is>
      </c>
      <c r="B9" s="5" t="inlineStr">
        <is>
          <t>Rent Comps — tiers</t>
        </is>
      </c>
      <c r="C9" s="18"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18"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18"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18"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18"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18"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18"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The vintage effect could not be isolated on this deal</t>
        </is>
      </c>
      <c r="B16" s="5" t="inlineStr">
        <is>
          <t>Rent Comps — tiers</t>
        </is>
      </c>
      <c r="C16" s="18" t="inlineStr">
        <is>
          <t>Withheld: the two comp sets share bed counts covering only 78% of the subject's units, below the 80% floor. A vintage effect measured off that little of the property would describe the mix instead. No vintage figure is asserted here rather than one computed off populations that are not comparable.</t>
        </is>
      </c>
    </row>
    <row r="17">
      <c r="A17" s="5" t="inlineStr">
        <is>
          <t>This sample is synthetic at a real address</t>
        </is>
      </c>
      <c r="B17" s="5" t="inlineStr">
        <is>
          <t>throughout</t>
        </is>
      </c>
      <c r="C17" s="18" t="inlineStr">
        <is>
          <t>The property, its unit mix, its rent roll, its trailing-twelve statement and its pricing are fabricated. Its LOCATION is real — 505 W Baseline Rd, Tempe, AZ 85283 — so the demand, supply, rent-comp and property-tax tabs are genuine pulls from the same sources a live upload reads: the operator's own weekly rent scrape, public permit and entitlement records, Census and BLS demographics, the vendored Zillow home-value table and the vendored county rate table.</t>
        </is>
      </c>
    </row>
    <row r="18">
      <c r="A18" s="5" t="inlineStr">
        <is>
          <t>About the market pull</t>
        </is>
      </c>
      <c r="B18" s="5" t="inlineStr">
        <is>
          <t>Rent Comps / Demand / Supply</t>
        </is>
      </c>
      <c r="C18" s="18" t="inlineStr">
        <is>
          <t>Demand: the ZIP-versus-metro home value rows are Zillow ZHVI from a vendored table that carries no as-of date — the same static table the operator's 1-pager reads. Directional, not current.</t>
        </is>
      </c>
    </row>
    <row r="19">
      <c r="A19" s="5" t="inlineStr">
        <is>
          <t>About the market pull</t>
        </is>
      </c>
      <c r="B19" s="5" t="inlineStr">
        <is>
          <t>Rent Comps / Demand / Supply</t>
        </is>
      </c>
      <c r="C19" s="18" t="inlineStr">
        <is>
          <t>Supply stages: the permit pipeline tracks pre-permit signals (entitlement leads, site plans, stormwater notices — shown as Entitlement) and issued permits (Permitted). Construction status and deliveries are not tracked, so those stages are not asserted.</t>
        </is>
      </c>
    </row>
    <row r="20">
      <c r="A20" s="5" t="inlineStr">
        <is>
          <t>About the market pull</t>
        </is>
      </c>
      <c r="B20" s="5" t="inlineStr">
        <is>
          <t>Rent Comps / Demand / Supply</t>
        </is>
      </c>
      <c r="C20" s="18" t="inlineStr">
        <is>
          <t>Supply: cut to multifamily projects for an MF subject; build-for-rent projects are not counted.</t>
        </is>
      </c>
    </row>
    <row r="21">
      <c r="A21" s="5" t="inlineStr">
        <is>
          <t>About the market pull</t>
        </is>
      </c>
      <c r="B21" s="5" t="inlineStr">
        <is>
          <t>Rent Comps / Demand / Supply</t>
        </is>
      </c>
      <c r="C21" s="18" t="inlineStr">
        <is>
          <t>Supply: 486 row(s) were the same development on more than one lifecycle layer and were counted once, at the furthest stage the pipeline shows.</t>
        </is>
      </c>
    </row>
    <row r="22">
      <c r="A22" s="5" t="inlineStr">
        <is>
          <t>About the market pull</t>
        </is>
      </c>
      <c r="B22" s="5" t="inlineStr">
        <is>
          <t>Rent Comps / Demand / Supply</t>
        </is>
      </c>
      <c r="C22" s="18" t="inlineStr">
        <is>
          <t>Supply: 186 project(s) without a unit count are counted as projects and add zero units — the unit figure is a floor, not a total.</t>
        </is>
      </c>
    </row>
    <row r="23">
      <c r="A23" s="5" t="inlineStr">
        <is>
          <t>About the market pull</t>
        </is>
      </c>
      <c r="B23" s="5" t="inlineStr">
        <is>
          <t>Rent Comps / Demand / Supply</t>
        </is>
      </c>
      <c r="C23" s="18" t="inlineStr">
        <is>
          <t>Supply pipeline: Supply: layers are lifecycle views of the SAME market — a project can appear as an NOI and later as a permit; never sum a tab's rows across layers.</t>
        </is>
      </c>
    </row>
    <row r="24">
      <c r="A24" s="5" t="inlineStr">
        <is>
          <t>About the market pull</t>
        </is>
      </c>
      <c r="B24" s="5" t="inlineStr">
        <is>
          <t>Rent Comps / Demand / Supply</t>
        </is>
      </c>
      <c r="C24" s="18" t="inlineStr">
        <is>
          <t>Supply pipeline: Supply: county/SFD 'Units' are measured where the permit carries them; NOI and entitlement 'Units' are acreage-derived ESTIMATES (capped 300) — treat as indicative.</t>
        </is>
      </c>
    </row>
    <row r="25">
      <c r="A25" s="5" t="inlineStr">
        <is>
          <t>About the market pull</t>
        </is>
      </c>
      <c r="B25" s="5" t="inlineStr">
        <is>
          <t>Rent Comps / Demand / Supply</t>
        </is>
      </c>
      <c r="C25" s="18" t="inlineStr">
        <is>
          <t>Supply pipeline: Supply: 'Lead — entitlement' rows are pre-permit LEADS (~40-65% eventually build), not committed supply; their Status shows the de-risk funnel (prospect / NOI nearby / permit nearby).</t>
        </is>
      </c>
    </row>
    <row r="26">
      <c r="A26" s="5" t="inlineStr">
        <is>
          <t>About the market pull</t>
        </is>
      </c>
      <c r="B26" s="5" t="inlineStr">
        <is>
          <t>Rent Comps / Demand / Supply</t>
        </is>
      </c>
      <c r="C26" s="18" t="inlineStr">
        <is>
          <t>Supply pipeline: Supply BFR: the detached SFD-tract layer exists for Charlotte / Las Vegas / Nashville / Tampa today; elsewhere detached product shows via NOI radar + entitlement tiers. Phoenix has no attached-BFR NOI arm.</t>
        </is>
      </c>
    </row>
    <row r="27">
      <c r="A27" s="5" t="inlineStr">
        <is>
          <t>About the market pull</t>
        </is>
      </c>
      <c r="B27" s="5" t="inlineStr">
        <is>
          <t>Rent Comps / Demand / Supply</t>
        </is>
      </c>
      <c r="C27" s="18" t="inlineStr">
        <is>
          <t>Rent comps: 442 of 454 communities in the radius carry a year built (parsed from the tracker's vendor note); those are vintage-tested against the subject, the rest are matched on distance and product only and say so.</t>
        </is>
      </c>
    </row>
    <row r="28">
      <c r="A28" s="5" t="inlineStr">
        <is>
          <t>About the market pull</t>
        </is>
      </c>
      <c r="B28" s="5" t="inlineStr">
        <is>
          <t>Rent Comps / Demand / Supply</t>
        </is>
      </c>
      <c r="C28" s="18" t="inlineStr">
        <is>
          <t>Rent comps: the in-radius population (454 communities) was read from the service's audit rows with the registry's product, exclusion flag and year built; the 434 beyond its 20 preselected are tiered on those but carry no quoted rent, so they are listed nearby.</t>
        </is>
      </c>
    </row>
    <row r="29">
      <c r="A29" s="5" t="inlineStr">
        <is>
          <t>About the market pull</t>
        </is>
      </c>
      <c r="B29" s="5" t="inlineStr">
        <is>
          <t>Rent Comps / Demand / Supply</t>
        </is>
      </c>
      <c r="C29" s="18" t="inlineStr">
        <is>
          <t>Rent comps: the service did not provide the lowest-five rent measure; rows marked 'group floor' quote the single lowest listing, which reads BELOW the lowest-five average.</t>
        </is>
      </c>
    </row>
    <row r="30">
      <c r="A30" s="5" t="inlineStr">
        <is>
          <t>About the market pull</t>
        </is>
      </c>
      <c r="B30" s="5" t="inlineStr">
        <is>
          <t>Rent Comps / Demand / Supply</t>
        </is>
      </c>
      <c r="C30" s="18" t="inlineStr">
        <is>
          <t>Rent comps: 2 community name(s) would fail the publishing check and are withheld; their rows stay, by distance and units.</t>
        </is>
      </c>
    </row>
    <row r="31">
      <c r="A31" s="5" t="inlineStr">
        <is>
          <t>About the market pull</t>
        </is>
      </c>
      <c r="B31" s="5" t="inlineStr">
        <is>
          <t>Rent Comps / Demand / Supply</t>
        </is>
      </c>
      <c r="C31" s="18" t="inlineStr">
        <is>
          <t>Rent comps: 2 unit group(s) the tracker flagged for review were not quoted.</t>
        </is>
      </c>
    </row>
    <row r="32">
      <c r="A32" s="5" t="inlineStr">
        <is>
          <t>Property tax</t>
        </is>
      </c>
      <c r="B32" s="5" t="inlineStr">
        <is>
          <t>Property Tax</t>
        </is>
      </c>
      <c r="C32" s="18"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parcel, the tax area code, the assessor's value, the billed amount, the bill's tax year, the exemption read MISSING. The statement's own Property Taxes line is shown as billed in the statement where a statement was uploaded.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8"/>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19" t="n">
        <v>50</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0"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18" t="inlineStr">
        <is>
          <t>Computed on the LOAN, never on the price. With no loan amount the line is reported as not asserted rather than inferred at 100% leverage.</t>
        </is>
      </c>
    </row>
    <row r="10">
      <c r="A10" s="20"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18" t="inlineStr">
        <is>
          <t>Rate applied to price_per_unit x unit_count. Per-unit statutes round the consideration up.</t>
        </is>
      </c>
    </row>
    <row r="11">
      <c r="A11" s="20" t="inlineStr">
        <is>
          <t>comps.nearby</t>
        </is>
      </c>
      <c r="B11" s="5" t="inlineStr">
        <is>
          <t>446 entries</t>
        </is>
      </c>
      <c r="C11" s="5" t="inlineStr">
        <is>
          <t>Tracked-community registry, via the market-report service</t>
        </is>
      </c>
      <c r="D11" s="5" t="inlineStr">
        <is>
          <t>POST /report (format json)</t>
        </is>
      </c>
      <c r="E11" s="5" t="inlineStr">
        <is>
          <t>derived</t>
        </is>
      </c>
      <c r="F11" s="5" t="inlineStr">
        <is>
          <t>comps.rows.tier</t>
        </is>
      </c>
      <c r="G11" s="18" t="inlineStr">
        <is>
          <t>Every community the service returned that is not a detail row, with the reason.</t>
        </is>
      </c>
    </row>
    <row r="12">
      <c r="A12" s="20" t="inlineStr">
        <is>
          <t>comps.rows</t>
        </is>
      </c>
      <c r="B12" s="5" t="inlineStr">
        <is>
          <t>27 entries</t>
        </is>
      </c>
      <c r="C12" s="5" t="inlineStr">
        <is>
          <t>Operator's own weekly rent scrape, via the market-report service</t>
        </is>
      </c>
      <c r="D12" s="5" t="inlineStr">
        <is>
          <t>POST /report (format json)</t>
        </is>
      </c>
      <c r="E12" s="5" t="inlineStr">
        <is>
          <t>read</t>
        </is>
      </c>
      <c r="F12" s="12" t="n"/>
      <c r="G12" s="18" t="inlineStr">
        <is>
          <t>Own weekly scrape; asking and net effective stated separately.</t>
        </is>
      </c>
    </row>
    <row r="13">
      <c r="A13" s="20"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18" t="inlineStr">
        <is>
          <t>Closest same-product communities first, within the vintage band where the registry carries a year built; an unknown year keeps the community and says so.</t>
        </is>
      </c>
    </row>
    <row r="14">
      <c r="A14" s="20"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18" t="inlineStr">
        <is>
          <t>Ring demographics.</t>
        </is>
      </c>
    </row>
    <row r="15">
      <c r="A15" s="20"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18" t="inlineStr">
        <is>
          <t>ZIP and metro home values from the vendored Zillow ZHVI table; static, undated.</t>
        </is>
      </c>
    </row>
    <row r="16">
      <c r="A16" s="20" t="inlineStr">
        <is>
          <t>pricing.price_per_unit</t>
        </is>
      </c>
      <c r="B16" s="5" t="inlineStr">
        <is>
          <t>215,000</t>
        </is>
      </c>
      <c r="C16" s="5" t="inlineStr">
        <is>
          <t>Supplied by the operator</t>
        </is>
      </c>
      <c r="D16" s="5" t="inlineStr">
        <is>
          <t>—</t>
        </is>
      </c>
      <c r="E16" s="5" t="inlineStr">
        <is>
          <t>read</t>
        </is>
      </c>
      <c r="F16" s="12" t="n"/>
      <c r="G16" s="18" t="inlineStr">
        <is>
          <t>Illustrative. Inside the band a per-unit sale price occupies.</t>
        </is>
      </c>
    </row>
    <row r="17">
      <c r="A17" s="20" t="inlineStr">
        <is>
          <t>pricing.unit_count</t>
        </is>
      </c>
      <c r="B17" s="5" t="inlineStr">
        <is>
          <t>180</t>
        </is>
      </c>
      <c r="C17" s="5" t="inlineStr">
        <is>
          <t>Synthetic rent roll export</t>
        </is>
      </c>
      <c r="D17" s="5" t="inlineStr">
        <is>
          <t>Rent Roll!A:A</t>
        </is>
      </c>
      <c r="E17" s="5" t="inlineStr">
        <is>
          <t>derived</t>
        </is>
      </c>
      <c r="F17" s="5" t="inlineStr">
        <is>
          <t>summary.unit_count</t>
        </is>
      </c>
      <c r="G17" s="21" t="n"/>
    </row>
    <row r="18">
      <c r="A18" s="20" t="inlineStr">
        <is>
          <t>summary.address_provenance</t>
        </is>
      </c>
      <c r="B18" s="5" t="inlineStr">
        <is>
          <t>MISSING</t>
        </is>
      </c>
      <c r="C18" s="5" t="inlineStr">
        <is>
          <t>Internal pipeline only</t>
        </is>
      </c>
      <c r="D18" s="5" t="inlineStr">
        <is>
          <t>—</t>
        </is>
      </c>
      <c r="E18" s="5" t="inlineStr">
        <is>
          <t>read</t>
        </is>
      </c>
      <c r="F18" s="12" t="n"/>
      <c r="G18" s="18" t="inlineStr">
        <is>
          <t>The internal pipeline geocodes the address and records how it resolved; the demo takes the address as the memorandum states it.</t>
        </is>
      </c>
    </row>
    <row r="19">
      <c r="A19" s="20" t="inlineStr">
        <is>
          <t>summary.assessed_value_basis</t>
        </is>
      </c>
      <c r="B19" s="5" t="inlineStr">
        <is>
          <t>MISSING</t>
        </is>
      </c>
      <c r="C19" s="5" t="inlineStr">
        <is>
          <t>Internal pipeline only</t>
        </is>
      </c>
      <c r="D19" s="5" t="inlineStr">
        <is>
          <t>—</t>
        </is>
      </c>
      <c r="E19" s="5" t="inlineStr">
        <is>
          <t>read</t>
        </is>
      </c>
      <c r="F19" s="12" t="n"/>
      <c r="G19" s="18" t="inlineStr">
        <is>
          <t>See parcel: read off the county assessor's portal by the internal pipeline only.</t>
        </is>
      </c>
    </row>
    <row r="20">
      <c r="A20" s="20" t="inlineStr">
        <is>
          <t>summary.assessment_ratio</t>
        </is>
      </c>
      <c r="B20" s="5" t="inlineStr">
        <is>
          <t>0.1</t>
        </is>
      </c>
      <c r="C20" s="5" t="inlineStr">
        <is>
          <t>Vendored county rate table</t>
        </is>
      </c>
      <c r="D20" s="5" t="inlineStr">
        <is>
          <t>property_tax_table.STATE_RULES['AZ']</t>
        </is>
      </c>
      <c r="E20" s="5" t="inlineStr">
        <is>
          <t>read</t>
        </is>
      </c>
      <c r="F20" s="12" t="n"/>
      <c r="G20" s="18" t="inlineStr">
        <is>
          <t>10% — legal class 4.2, residential rental. A.R.S. sec. 42-15003 (class four assessed at 10%); A.R.S. sec. 42-12004 (class four includes residential rental property).</t>
        </is>
      </c>
    </row>
    <row r="21">
      <c r="A21" s="20" t="inlineStr">
        <is>
          <t>summary.city</t>
        </is>
      </c>
      <c r="B21" s="5" t="inlineStr">
        <is>
          <t>Tempe</t>
        </is>
      </c>
      <c r="C21" s="5" t="inlineStr">
        <is>
          <t>Synthetic offering memorandum</t>
        </is>
      </c>
      <c r="D21" s="5" t="inlineStr">
        <is>
          <t>p.4</t>
        </is>
      </c>
      <c r="E21" s="5" t="inlineStr">
        <is>
          <t>read</t>
        </is>
      </c>
      <c r="F21" s="12" t="n"/>
      <c r="G21" s="21" t="n"/>
    </row>
    <row r="22">
      <c r="A22" s="20" t="inlineStr">
        <is>
          <t>summary.construction_status</t>
        </is>
      </c>
      <c r="B22" s="5" t="inlineStr">
        <is>
          <t>Stabilized</t>
        </is>
      </c>
      <c r="C22" s="5" t="inlineStr">
        <is>
          <t>Synthetic offering memorandum</t>
        </is>
      </c>
      <c r="D22" s="5" t="inlineStr">
        <is>
          <t>p.6</t>
        </is>
      </c>
      <c r="E22" s="5" t="inlineStr">
        <is>
          <t>read</t>
        </is>
      </c>
      <c r="F22" s="12" t="n"/>
      <c r="G22" s="21" t="n"/>
    </row>
    <row r="23">
      <c r="A23" s="20" t="inlineStr">
        <is>
          <t>summary.county</t>
        </is>
      </c>
      <c r="B23" s="5" t="inlineStr">
        <is>
          <t>Maricopa</t>
        </is>
      </c>
      <c r="C23" s="5" t="inlineStr">
        <is>
          <t>Synthetic offering memorandum</t>
        </is>
      </c>
      <c r="D23" s="5" t="inlineStr">
        <is>
          <t>p.4</t>
        </is>
      </c>
      <c r="E23" s="5" t="inlineStr">
        <is>
          <t>read</t>
        </is>
      </c>
      <c r="F23" s="12" t="n"/>
      <c r="G23" s="21" t="n"/>
    </row>
    <row r="24">
      <c r="A24" s="20" t="inlineStr">
        <is>
          <t>summary.deal_name</t>
        </is>
      </c>
      <c r="B24" s="5" t="inlineStr">
        <is>
          <t>Fixture Park</t>
        </is>
      </c>
      <c r="C24" s="5" t="inlineStr">
        <is>
          <t>Synthetic offering memorandum</t>
        </is>
      </c>
      <c r="D24" s="5" t="inlineStr">
        <is>
          <t>p.1</t>
        </is>
      </c>
      <c r="E24" s="5" t="inlineStr">
        <is>
          <t>read</t>
        </is>
      </c>
      <c r="F24" s="12" t="n"/>
      <c r="G24" s="18" t="inlineStr">
        <is>
          <t>Fixture Park</t>
        </is>
      </c>
    </row>
    <row r="25">
      <c r="A25" s="20" t="inlineStr">
        <is>
          <t>summary.deal_status</t>
        </is>
      </c>
      <c r="B25" s="5" t="inlineStr">
        <is>
          <t>On the market</t>
        </is>
      </c>
      <c r="C25" s="5" t="inlineStr">
        <is>
          <t>Synthetic offering memorandum</t>
        </is>
      </c>
      <c r="D25" s="5" t="inlineStr">
        <is>
          <t>p.2</t>
        </is>
      </c>
      <c r="E25" s="5" t="inlineStr">
        <is>
          <t>read</t>
        </is>
      </c>
      <c r="F25" s="12" t="n"/>
      <c r="G25" s="21" t="n"/>
    </row>
    <row r="26">
      <c r="A26" s="20" t="inlineStr">
        <is>
          <t>summary.delivery_date</t>
        </is>
      </c>
      <c r="B26" s="5" t="inlineStr">
        <is>
          <t>Delivered 1981; stabilized (synthetic operating history)</t>
        </is>
      </c>
      <c r="C26" s="5" t="inlineStr">
        <is>
          <t>Synthetic offering memorandum</t>
        </is>
      </c>
      <c r="D26" s="5" t="inlineStr">
        <is>
          <t>p.6</t>
        </is>
      </c>
      <c r="E26" s="5" t="inlineStr">
        <is>
          <t>read</t>
        </is>
      </c>
      <c r="F26" s="12" t="n"/>
      <c r="G26" s="21" t="n"/>
    </row>
    <row r="27">
      <c r="A27" s="20" t="inlineStr">
        <is>
          <t>summary.fair_market_value</t>
        </is>
      </c>
      <c r="B27" s="5" t="inlineStr">
        <is>
          <t>MISSING</t>
        </is>
      </c>
      <c r="C27" s="5" t="inlineStr">
        <is>
          <t>Internal pipeline only</t>
        </is>
      </c>
      <c r="D27" s="5" t="inlineStr">
        <is>
          <t>—</t>
        </is>
      </c>
      <c r="E27" s="5" t="inlineStr">
        <is>
          <t>read</t>
        </is>
      </c>
      <c r="F27" s="12" t="n"/>
      <c r="G27" s="18" t="inlineStr">
        <is>
          <t>The internal pipeline pulls a market value by web lookup; the demo does not reach the web.</t>
        </is>
      </c>
    </row>
    <row r="28">
      <c r="A28" s="20" t="inlineStr">
        <is>
          <t>summary.in_place_rent_avg</t>
        </is>
      </c>
      <c r="B28" s="5" t="inlineStr">
        <is>
          <t>1,795.36</t>
        </is>
      </c>
      <c r="C28" s="5" t="inlineStr">
        <is>
          <t>Derived by the pipeline</t>
        </is>
      </c>
      <c r="D28" s="5" t="inlineStr">
        <is>
          <t>Unit Mix Summary!E</t>
        </is>
      </c>
      <c r="E28" s="5" t="inlineStr">
        <is>
          <t>computed</t>
        </is>
      </c>
      <c r="F28" s="5" t="inlineStr">
        <is>
          <t>rent_roll.units</t>
        </is>
      </c>
      <c r="G28" s="18" t="inlineStr">
        <is>
          <t>Occupied units, straight off the roll.</t>
        </is>
      </c>
    </row>
    <row r="29">
      <c r="A29" s="20" t="inlineStr">
        <is>
          <t>summary.listing_brokerage</t>
        </is>
      </c>
      <c r="B29" s="5" t="inlineStr">
        <is>
          <t>Listing brokerage</t>
        </is>
      </c>
      <c r="C29" s="5" t="inlineStr">
        <is>
          <t>Derived by the pipeline</t>
        </is>
      </c>
      <c r="D29" s="5" t="inlineStr">
        <is>
          <t>—</t>
        </is>
      </c>
      <c r="E29" s="5" t="inlineStr">
        <is>
          <t>derived</t>
        </is>
      </c>
      <c r="F29" s="5" t="inlineStr">
        <is>
          <t>summary.seller_entity</t>
        </is>
      </c>
      <c r="G29" s="18" t="inlineStr">
        <is>
          <t>Generic label; no firm or individual is named in a published file.</t>
        </is>
      </c>
    </row>
    <row r="30">
      <c r="A30" s="20" t="inlineStr">
        <is>
          <t>summary.market_rent_for_model</t>
        </is>
      </c>
      <c r="B30" s="5" t="inlineStr">
        <is>
          <t>1,834.78</t>
        </is>
      </c>
      <c r="C30" s="5" t="inlineStr">
        <is>
          <t>Derived by the pipeline</t>
        </is>
      </c>
      <c r="D30" s="5" t="inlineStr">
        <is>
          <t>Unit Mix Summary!H</t>
        </is>
      </c>
      <c r="E30" s="5" t="inlineStr">
        <is>
          <t>computed</t>
        </is>
      </c>
      <c r="F30" s="5" t="inlineStr">
        <is>
          <t>rent_roll.units</t>
        </is>
      </c>
      <c r="G30" s="18" t="inlineStr">
        <is>
          <t>New-lease average where a plan has new leases in the window, else in-place. Never a blend.</t>
        </is>
      </c>
    </row>
    <row r="31">
      <c r="A31" s="20" t="inlineStr">
        <is>
          <t>summary.msa</t>
        </is>
      </c>
      <c r="B31" s="5" t="inlineStr">
        <is>
          <t>Phoenix</t>
        </is>
      </c>
      <c r="C31" s="5" t="inlineStr">
        <is>
          <t>Derived by the pipeline</t>
        </is>
      </c>
      <c r="D31" s="5" t="inlineStr">
        <is>
          <t>—</t>
        </is>
      </c>
      <c r="E31" s="5" t="inlineStr">
        <is>
          <t>derived</t>
        </is>
      </c>
      <c r="F31" s="5" t="inlineStr">
        <is>
          <t>summary.city, summary.state</t>
        </is>
      </c>
      <c r="G31" s="18" t="inlineStr">
        <is>
          <t>Metro assigned from the city/state pair.</t>
        </is>
      </c>
    </row>
    <row r="32">
      <c r="A32" s="20" t="inlineStr">
        <is>
          <t>summary.pricing_guidance</t>
        </is>
      </c>
      <c r="B32" s="5" t="inlineStr">
        <is>
          <t>$215,000 per unit (illustrative)</t>
        </is>
      </c>
      <c r="C32" s="5" t="inlineStr">
        <is>
          <t>Supplied by the operator</t>
        </is>
      </c>
      <c r="D32" s="5" t="inlineStr">
        <is>
          <t>—</t>
        </is>
      </c>
      <c r="E32" s="5" t="inlineStr">
        <is>
          <t>read</t>
        </is>
      </c>
      <c r="F32" s="12" t="n"/>
      <c r="G32" s="18" t="inlineStr">
        <is>
          <t>Illustrative figure supplied directly; not a quote or an offer.</t>
        </is>
      </c>
    </row>
    <row r="33">
      <c r="A33" s="20" t="inlineStr">
        <is>
          <t>summary.product_detail</t>
        </is>
      </c>
      <c r="B33" s="5" t="inlineStr">
        <is>
          <t>180 units across six plans: 62 one-bedroom (720–795 SF), 78 two-bedroom (1,050–1,140 SF…</t>
        </is>
      </c>
      <c r="C33" s="5" t="inlineStr">
        <is>
          <t>Synthetic offering memorandum</t>
        </is>
      </c>
      <c r="D33" s="5" t="inlineStr">
        <is>
          <t>p.7</t>
        </is>
      </c>
      <c r="E33" s="5" t="inlineStr">
        <is>
          <t>read</t>
        </is>
      </c>
      <c r="F33" s="12" t="n"/>
      <c r="G33" s="21" t="n"/>
    </row>
    <row r="34">
      <c r="A34" s="20" t="inlineStr">
        <is>
          <t>summary.product_type</t>
        </is>
      </c>
      <c r="B34" s="5" t="inlineStr">
        <is>
          <t>MF</t>
        </is>
      </c>
      <c r="C34" s="5" t="inlineStr">
        <is>
          <t>Synthetic offering memorandum</t>
        </is>
      </c>
      <c r="D34" s="5" t="inlineStr">
        <is>
          <t>p.6</t>
        </is>
      </c>
      <c r="E34" s="5" t="inlineStr">
        <is>
          <t>read</t>
        </is>
      </c>
      <c r="F34" s="12" t="n"/>
      <c r="G34" s="21" t="n"/>
    </row>
    <row r="35">
      <c r="A35" s="20" t="inlineStr">
        <is>
          <t>summary.school_elementary_name</t>
        </is>
      </c>
      <c r="B35" s="5" t="inlineStr">
        <is>
          <t>MISSING</t>
        </is>
      </c>
      <c r="C35" s="5" t="inlineStr">
        <is>
          <t>Internal pipeline only</t>
        </is>
      </c>
      <c r="D35" s="5" t="inlineStr">
        <is>
          <t>—</t>
        </is>
      </c>
      <c r="E35" s="5" t="inlineStr">
        <is>
          <t>read</t>
        </is>
      </c>
      <c r="F35" s="12" t="n"/>
      <c r="G35" s="18" t="inlineStr">
        <is>
          <t>The internal pipeline looks up the attendance-zone elementary, middle and high school and their public ratings; the demo reads a school name only where the memorandum states one and never rates it.</t>
        </is>
      </c>
    </row>
    <row r="36">
      <c r="A36" s="20" t="inlineStr">
        <is>
          <t>summary.school_high_name</t>
        </is>
      </c>
      <c r="B36" s="5" t="inlineStr">
        <is>
          <t>MISSING</t>
        </is>
      </c>
      <c r="C36" s="5" t="inlineStr">
        <is>
          <t>Internal pipeline only</t>
        </is>
      </c>
      <c r="D36" s="5" t="inlineStr">
        <is>
          <t>—</t>
        </is>
      </c>
      <c r="E36" s="5" t="inlineStr">
        <is>
          <t>read</t>
        </is>
      </c>
      <c r="F36" s="12" t="n"/>
      <c r="G36" s="18" t="inlineStr">
        <is>
          <t>The internal pipeline looks up the attendance-zone elementary, middle and high school and their public ratings; the demo reads a school name only where the memorandum states one and never rates it.</t>
        </is>
      </c>
    </row>
    <row r="37">
      <c r="A37" s="20" t="inlineStr">
        <is>
          <t>summary.school_middle_name</t>
        </is>
      </c>
      <c r="B37" s="5" t="inlineStr">
        <is>
          <t>MISSING</t>
        </is>
      </c>
      <c r="C37" s="5" t="inlineStr">
        <is>
          <t>Internal pipeline only</t>
        </is>
      </c>
      <c r="D37" s="5" t="inlineStr">
        <is>
          <t>—</t>
        </is>
      </c>
      <c r="E37" s="5" t="inlineStr">
        <is>
          <t>read</t>
        </is>
      </c>
      <c r="F37" s="12" t="n"/>
      <c r="G37" s="18" t="inlineStr">
        <is>
          <t>The internal pipeline looks up the attendance-zone elementary, middle and high school and their public ratings; the demo reads a school name only where the memorandum states one and never rates it.</t>
        </is>
      </c>
    </row>
    <row r="38">
      <c r="A38" s="20" t="inlineStr">
        <is>
          <t>summary.seller_entity</t>
        </is>
      </c>
      <c r="B38" s="5" t="inlineStr">
        <is>
          <t>Sample City Residential Holdings LLC</t>
        </is>
      </c>
      <c r="C38" s="5" t="inlineStr">
        <is>
          <t>Synthetic offering memorandum</t>
        </is>
      </c>
      <c r="D38" s="5" t="inlineStr">
        <is>
          <t>p.2</t>
        </is>
      </c>
      <c r="E38" s="5" t="inlineStr">
        <is>
          <t>read</t>
        </is>
      </c>
      <c r="F38" s="12" t="n"/>
      <c r="G38" s="21" t="n"/>
    </row>
    <row r="39">
      <c r="A39" s="20" t="inlineStr">
        <is>
          <t>summary.state</t>
        </is>
      </c>
      <c r="B39" s="5" t="inlineStr">
        <is>
          <t>AZ</t>
        </is>
      </c>
      <c r="C39" s="5" t="inlineStr">
        <is>
          <t>Synthetic offering memorandum</t>
        </is>
      </c>
      <c r="D39" s="5" t="inlineStr">
        <is>
          <t>p.4</t>
        </is>
      </c>
      <c r="E39" s="5" t="inlineStr">
        <is>
          <t>read</t>
        </is>
      </c>
      <c r="F39" s="12" t="n"/>
      <c r="G39" s="21" t="n"/>
    </row>
    <row r="40">
      <c r="A40" s="20" t="inlineStr">
        <is>
          <t>summary.street_address</t>
        </is>
      </c>
      <c r="B40" s="5" t="inlineStr">
        <is>
          <t>505 W Baseline Rd</t>
        </is>
      </c>
      <c r="C40" s="5" t="inlineStr">
        <is>
          <t>Synthetic offering memorandum</t>
        </is>
      </c>
      <c r="D40" s="5" t="inlineStr">
        <is>
          <t>p.4</t>
        </is>
      </c>
      <c r="E40" s="5" t="inlineStr">
        <is>
          <t>read</t>
        </is>
      </c>
      <c r="F40" s="12" t="n"/>
      <c r="G40" s="18" t="inlineStr">
        <is>
          <t>1400 Example Parkway</t>
        </is>
      </c>
    </row>
    <row r="41">
      <c r="A41" s="20" t="inlineStr">
        <is>
          <t>summary.structure</t>
        </is>
      </c>
      <c r="B41" s="5" t="inlineStr">
        <is>
          <t>Three-story garden, surface parked</t>
        </is>
      </c>
      <c r="C41" s="5" t="inlineStr">
        <is>
          <t>Synthetic offering memorandum</t>
        </is>
      </c>
      <c r="D41" s="5" t="inlineStr">
        <is>
          <t>p.6</t>
        </is>
      </c>
      <c r="E41" s="5" t="inlineStr">
        <is>
          <t>read</t>
        </is>
      </c>
      <c r="F41" s="12" t="n"/>
      <c r="G41" s="18" t="inlineStr">
        <is>
          <t>Three-story garden, surface parked</t>
        </is>
      </c>
    </row>
    <row r="42">
      <c r="A42" s="20" t="inlineStr">
        <is>
          <t>summary.tax_area_code</t>
        </is>
      </c>
      <c r="B42" s="5" t="inlineStr">
        <is>
          <t>MISSING</t>
        </is>
      </c>
      <c r="C42" s="5" t="inlineStr">
        <is>
          <t>Internal pipeline only</t>
        </is>
      </c>
      <c r="D42" s="5" t="inlineStr">
        <is>
          <t>—</t>
        </is>
      </c>
      <c r="E42" s="5" t="inlineStr">
        <is>
          <t>read</t>
        </is>
      </c>
      <c r="F42" s="12" t="n"/>
      <c r="G42" s="18" t="inlineStr">
        <is>
          <t>See parcel: read off the county assessor's portal by the internal pipeline only.</t>
        </is>
      </c>
    </row>
    <row r="43">
      <c r="A43" s="20" t="inlineStr">
        <is>
          <t>summary.tax_basis_label</t>
        </is>
      </c>
      <c r="B43" s="5" t="inlineStr">
        <is>
          <t>Limited property value (LPV), per the county assessor</t>
        </is>
      </c>
      <c r="C43" s="5" t="inlineStr">
        <is>
          <t>Vendored county rate table</t>
        </is>
      </c>
      <c r="D43" s="5" t="inlineStr">
        <is>
          <t>property_tax_table.STATE_RULES['AZ']</t>
        </is>
      </c>
      <c r="E43" s="5" t="inlineStr">
        <is>
          <t>read</t>
        </is>
      </c>
      <c r="F43" s="12" t="n"/>
      <c r="G43" s="18" t="inlineStr">
        <is>
          <t>What the assessed basis is in this state.</t>
        </is>
      </c>
    </row>
    <row r="44">
      <c r="A44" s="20" t="inlineStr">
        <is>
          <t>summary.tax_basis_note</t>
        </is>
      </c>
      <c r="B44" s="5" t="inlineStr">
        <is>
          <t>Arizona taxes the limited property value, not the price. Under Proposition 117 (Ariz. C…</t>
        </is>
      </c>
      <c r="C44" s="5" t="inlineStr">
        <is>
          <t>Vendored county rate table</t>
        </is>
      </c>
      <c r="D44" s="5" t="inlineStr">
        <is>
          <t>property_tax_table.STATE_RULES['AZ']</t>
        </is>
      </c>
      <c r="E44" s="5" t="inlineStr">
        <is>
          <t>read</t>
        </is>
      </c>
      <c r="F44" s="12" t="n"/>
      <c r="G44" s="18" t="inlineStr">
        <is>
          <t>How the basis behaves on a sale, with the authority.</t>
        </is>
      </c>
    </row>
    <row r="45">
      <c r="A45" s="20" t="inlineStr">
        <is>
          <t>summary.tax_billed_amount</t>
        </is>
      </c>
      <c r="B45" s="5" t="inlineStr">
        <is>
          <t>MISSING</t>
        </is>
      </c>
      <c r="C45" s="5" t="inlineStr">
        <is>
          <t>Internal pipeline only</t>
        </is>
      </c>
      <c r="D45" s="5" t="inlineStr">
        <is>
          <t>—</t>
        </is>
      </c>
      <c r="E45" s="5" t="inlineStr">
        <is>
          <t>read</t>
        </is>
      </c>
      <c r="F45" s="12" t="n"/>
      <c r="G45" s="18" t="inlineStr">
        <is>
          <t>See parcel: read off the county assessor's portal by the internal pipeline only.</t>
        </is>
      </c>
    </row>
    <row r="46">
      <c r="A46" s="20" t="inlineStr">
        <is>
          <t>summary.tax_billed_year</t>
        </is>
      </c>
      <c r="B46" s="5" t="inlineStr">
        <is>
          <t>MISSING</t>
        </is>
      </c>
      <c r="C46" s="5" t="inlineStr">
        <is>
          <t>Internal pipeline only</t>
        </is>
      </c>
      <c r="D46" s="5" t="inlineStr">
        <is>
          <t>—</t>
        </is>
      </c>
      <c r="E46" s="5" t="inlineStr">
        <is>
          <t>read</t>
        </is>
      </c>
      <c r="F46" s="12" t="n"/>
      <c r="G46" s="18" t="inlineStr">
        <is>
          <t>See parcel: read off the county assessor's portal by the internal pipeline only.</t>
        </is>
      </c>
    </row>
    <row r="47">
      <c r="A47" s="20" t="inlineStr">
        <is>
          <t>summary.tax_divisor</t>
        </is>
      </c>
      <c r="B47" s="5" t="inlineStr">
        <is>
          <t>100</t>
        </is>
      </c>
      <c r="C47" s="5" t="inlineStr">
        <is>
          <t>Vendored county rate table</t>
        </is>
      </c>
      <c r="D47" s="5" t="inlineStr">
        <is>
          <t>property_tax_table.STATE_RULES['AZ']</t>
        </is>
      </c>
      <c r="E47" s="5" t="inlineStr">
        <is>
          <t>read</t>
        </is>
      </c>
      <c r="F47" s="12" t="n"/>
      <c r="G47" s="18" t="inlineStr">
        <is>
          <t>The rate's unit in Arizona: per $100 of assessed value.</t>
        </is>
      </c>
    </row>
    <row r="48">
      <c r="A48" s="20" t="inlineStr">
        <is>
          <t>summary.tax_exemption</t>
        </is>
      </c>
      <c r="B48" s="5" t="inlineStr">
        <is>
          <t>MISSING</t>
        </is>
      </c>
      <c r="C48" s="5" t="inlineStr">
        <is>
          <t>Internal pipeline only</t>
        </is>
      </c>
      <c r="D48" s="5" t="inlineStr">
        <is>
          <t>—</t>
        </is>
      </c>
      <c r="E48" s="5" t="inlineStr">
        <is>
          <t>read</t>
        </is>
      </c>
      <c r="F48" s="12" t="n"/>
      <c r="G48" s="18" t="inlineStr">
        <is>
          <t>See parcel: read off the county assessor's portal by the internal pipeline only.</t>
        </is>
      </c>
    </row>
    <row r="49">
      <c r="A49" s="20" t="inlineStr">
        <is>
          <t>summary.tax_parcel_id</t>
        </is>
      </c>
      <c r="B49" s="5" t="inlineStr">
        <is>
          <t>MISSING</t>
        </is>
      </c>
      <c r="C49" s="5" t="inlineStr">
        <is>
          <t>Internal pipeline only</t>
        </is>
      </c>
      <c r="D49" s="5" t="inlineStr">
        <is>
          <t>—</t>
        </is>
      </c>
      <c r="E49" s="5" t="inlineStr">
        <is>
          <t>read</t>
        </is>
      </c>
      <c r="F49" s="12" t="n"/>
      <c r="G49" s="18" t="inlineStr">
        <is>
          <t>The internal pipeline reads the parcel, tax district, assessed value, exemption and billed amount off the county assessor's portal; the demo shows the county's published rate only.</t>
        </is>
      </c>
    </row>
    <row r="50">
      <c r="A50" s="20" t="inlineStr">
        <is>
          <t>summary.tax_per_unit_flag</t>
        </is>
      </c>
      <c r="B50" s="5" t="inlineStr">
        <is>
          <t>OUTSIDE the band (the statement's line per unit): $2,797 per unit a year is outside the…</t>
        </is>
      </c>
      <c r="C50" s="5" t="inlineStr">
        <is>
          <t>Vendored county rate table</t>
        </is>
      </c>
      <c r="D50" s="5" t="inlineStr">
        <is>
          <t>property_tax_table.band_check</t>
        </is>
      </c>
      <c r="E50" s="5" t="inlineStr">
        <is>
          <t>derived</t>
        </is>
      </c>
      <c r="F50" s="5" t="inlineStr">
        <is>
          <t>summary.tax_statement_amount, summary.unit_count, summary.state</t>
        </is>
      </c>
      <c r="G50" s="18" t="inlineStr">
        <is>
          <t>A sanity check against the state's typical per-unit range. It flags; it never changes a figure.</t>
        </is>
      </c>
    </row>
    <row r="51">
      <c r="A51" s="20" t="inlineStr">
        <is>
          <t>summary.tax_rate_as_billed</t>
        </is>
      </c>
      <c r="B51" s="5" t="inlineStr">
        <is>
          <t>10.26</t>
        </is>
      </c>
      <c r="C51" s="5" t="inlineStr">
        <is>
          <t>Vendored county rate table</t>
        </is>
      </c>
      <c r="D51" s="5" t="inlineStr">
        <is>
          <t>property_tax_table.COUNTY_RATES[('AZ', 'maricopa')]</t>
        </is>
      </c>
      <c r="E51" s="5" t="inlineStr">
        <is>
          <t>read</t>
        </is>
      </c>
      <c r="F51" s="12" t="n"/>
      <c r="G51" s="18"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2">
      <c r="A52" s="20" t="inlineStr">
        <is>
          <t>summary.tax_rate_evidence</t>
        </is>
      </c>
      <c r="B52" s="5" t="inlineStr">
        <is>
          <t>Vendored county rate table: 10.2573 per $100 of assessed value, tax year 2025 — Tax are…</t>
        </is>
      </c>
      <c r="C52" s="5" t="inlineStr">
        <is>
          <t>Vendored county rate table</t>
        </is>
      </c>
      <c r="D52" s="5" t="inlineStr">
        <is>
          <t>property_tax_table.evidence_text</t>
        </is>
      </c>
      <c r="E52" s="5" t="inlineStr">
        <is>
          <t>derived</t>
        </is>
      </c>
      <c r="F52" s="5" t="inlineStr">
        <is>
          <t>summary.state, summary.county</t>
        </is>
      </c>
      <c r="G52" s="18" t="inlineStr">
        <is>
          <t>The citation, tax year and jurisdiction stack behind the rate, or the honest note that none is on file.</t>
        </is>
      </c>
    </row>
    <row r="53">
      <c r="A53" s="20" t="inlineStr">
        <is>
          <t>summary.tax_rate_year</t>
        </is>
      </c>
      <c r="B53" s="5" t="inlineStr">
        <is>
          <t>2,025</t>
        </is>
      </c>
      <c r="C53" s="5" t="inlineStr">
        <is>
          <t>Vendored county rate table</t>
        </is>
      </c>
      <c r="D53" s="5" t="inlineStr">
        <is>
          <t>property_tax_table.COUNTY_RATES[('AZ', 'maricopa')]</t>
        </is>
      </c>
      <c r="E53" s="5" t="inlineStr">
        <is>
          <t>read</t>
        </is>
      </c>
      <c r="F53" s="12" t="n"/>
      <c r="G53" s="18" t="inlineStr">
        <is>
          <t>The tax year of the rate on file. A bill from another year is displayed, not tied out.</t>
        </is>
      </c>
    </row>
    <row r="54">
      <c r="A54" s="20" t="inlineStr">
        <is>
          <t>summary.tax_statement_amount</t>
        </is>
      </c>
      <c r="B54" s="5" t="inlineStr">
        <is>
          <t>503,391.9</t>
        </is>
      </c>
      <c r="C54" s="5" t="inlineStr">
        <is>
          <t>the synthetic trailing-twelve statement</t>
        </is>
      </c>
      <c r="D54" s="5" t="inlineStr">
        <is>
          <t>Property Taxes lines</t>
        </is>
      </c>
      <c r="E54" s="5" t="inlineStr">
        <is>
          <t>computed</t>
        </is>
      </c>
      <c r="F54" s="5" t="inlineStr">
        <is>
          <t>t12.rows</t>
        </is>
      </c>
      <c r="G54" s="18" t="inlineStr">
        <is>
          <t>The statement's lines categorised as Property Taxes, summed over its twelve months. As billed in the statement, not the county's bill.</t>
        </is>
      </c>
    </row>
    <row r="55">
      <c r="A55" s="20" t="inlineStr">
        <is>
          <t>summary.unit_count</t>
        </is>
      </c>
      <c r="B55" s="5" t="inlineStr">
        <is>
          <t>180</t>
        </is>
      </c>
      <c r="C55" s="5" t="inlineStr">
        <is>
          <t>Synthetic rent roll export</t>
        </is>
      </c>
      <c r="D55" s="5" t="inlineStr">
        <is>
          <t>Rent Roll!A:A</t>
        </is>
      </c>
      <c r="E55" s="5" t="inlineStr">
        <is>
          <t>derived</t>
        </is>
      </c>
      <c r="F55" s="5" t="inlineStr">
        <is>
          <t>rent_roll.units</t>
        </is>
      </c>
      <c r="G55" s="18" t="inlineStr">
        <is>
          <t>Distinct unit identifiers on the roll.</t>
        </is>
      </c>
    </row>
    <row r="56">
      <c r="A56" s="20" t="inlineStr">
        <is>
          <t>summary.year_built</t>
        </is>
      </c>
      <c r="B56" s="5" t="inlineStr">
        <is>
          <t>1,981</t>
        </is>
      </c>
      <c r="C56" s="5" t="inlineStr">
        <is>
          <t>Synthetic offering memorandum</t>
        </is>
      </c>
      <c r="D56" s="5" t="inlineStr">
        <is>
          <t>p.6</t>
        </is>
      </c>
      <c r="E56" s="5" t="inlineStr">
        <is>
          <t>read</t>
        </is>
      </c>
      <c r="F56" s="12" t="n"/>
      <c r="G56" s="21" t="n"/>
    </row>
    <row r="57">
      <c r="A57" s="20" t="inlineStr">
        <is>
          <t>summary.zip</t>
        </is>
      </c>
      <c r="B57" s="5" t="inlineStr">
        <is>
          <t>85283</t>
        </is>
      </c>
      <c r="C57" s="5" t="inlineStr">
        <is>
          <t>Synthetic offering memorandum</t>
        </is>
      </c>
      <c r="D57" s="5" t="inlineStr">
        <is>
          <t>p.4</t>
        </is>
      </c>
      <c r="E57" s="5" t="inlineStr">
        <is>
          <t>read</t>
        </is>
      </c>
      <c r="F57" s="12" t="n"/>
      <c r="G57" s="21" t="n"/>
    </row>
    <row r="58">
      <c r="A58" s="20" t="inlineStr">
        <is>
          <t>supply.rings</t>
        </is>
      </c>
      <c r="B58" s="5" t="inlineStr">
        <is>
          <t>8 entries</t>
        </is>
      </c>
      <c r="C58" s="5" t="inlineStr">
        <is>
          <t>Public permit and entitlement records (the operator's supply pipeline), via the market-report service</t>
        </is>
      </c>
      <c r="D58" s="5" t="inlineStr">
        <is>
          <t>POST /report (format json)</t>
        </is>
      </c>
      <c r="E58" s="5" t="inlineStr">
        <is>
          <t>read</t>
        </is>
      </c>
      <c r="F58" s="12" t="n"/>
      <c r="G58" s="18"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