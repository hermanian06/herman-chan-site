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
    <numFmt numFmtId="167" formatCode="yyyy-mm-dd"/>
    <numFmt numFmtId="168" formatCode="mm/dd/yyyy"/>
    <numFmt numFmtId="169" formatCode="0.00&quot;x&quot;"/>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4">
    <fill>
      <patternFill/>
    </fill>
    <fill>
      <patternFill patternType="gray125"/>
    </fill>
    <fill>
      <patternFill patternType="solid">
        <fgColor rgb="00595959"/>
      </patternFill>
    </fill>
    <fill>
      <patternFill patternType="solid">
        <fgColor rgb="00D9D9D9"/>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169"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1400 Example Parkway</t>
        </is>
      </c>
      <c r="D7" s="6" t="inlineStr">
        <is>
          <t>Synthetic offering memorandum — p.4</t>
        </is>
      </c>
    </row>
    <row r="8">
      <c r="A8" s="5" t="inlineStr">
        <is>
          <t>City</t>
        </is>
      </c>
      <c r="B8" s="5" t="inlineStr">
        <is>
          <t>Sample City</t>
        </is>
      </c>
      <c r="D8" s="6" t="inlineStr">
        <is>
          <t>Synthetic offering memorandum — p.4</t>
        </is>
      </c>
    </row>
    <row r="9">
      <c r="A9" s="5" t="inlineStr">
        <is>
          <t>State</t>
        </is>
      </c>
      <c r="B9" s="5" t="inlineStr">
        <is>
          <t>TX</t>
        </is>
      </c>
      <c r="D9" s="6" t="inlineStr">
        <is>
          <t>Synthetic offering memorandum — p.4</t>
        </is>
      </c>
    </row>
    <row r="10">
      <c r="A10" s="5" t="inlineStr">
        <is>
          <t>ZIP</t>
        </is>
      </c>
      <c r="B10" s="5" t="inlineStr">
        <is>
          <t>75000</t>
        </is>
      </c>
      <c r="D10" s="6" t="inlineStr">
        <is>
          <t>Synthetic offering memorandum — p.4</t>
        </is>
      </c>
    </row>
    <row r="11">
      <c r="A11" s="5" t="inlineStr">
        <is>
          <t>County</t>
        </is>
      </c>
      <c r="B11" s="5" t="inlineStr">
        <is>
          <t>Example County</t>
        </is>
      </c>
      <c r="D11" s="6" t="inlineStr">
        <is>
          <t>Synthetic offering memorandum — p.4</t>
        </is>
      </c>
    </row>
    <row r="12">
      <c r="A12" s="5" t="inlineStr">
        <is>
          <t>MSA</t>
        </is>
      </c>
      <c r="B12" s="5" t="inlineStr">
        <is>
          <t>Sample City MSA</t>
        </is>
      </c>
      <c r="D12" s="6" t="inlineStr">
        <is>
          <t>Derived by the pipeline (derived)</t>
        </is>
      </c>
    </row>
    <row r="13">
      <c r="A13" s="5" t="inlineStr">
        <is>
          <t>Address resolved from</t>
        </is>
      </c>
      <c r="B13" s="5" t="inlineStr">
        <is>
          <t>Street address read from the synthetic marketing package; city/state/ZIP confirmed against the same document.</t>
        </is>
      </c>
      <c r="C13" s="6" t="inlineStr">
        <is>
          <t>How the address was resolved, and from which document.</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2019</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2019; fully stabilized since 2021</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7" t="n">
        <v>39600000</v>
      </c>
      <c r="D42" s="6" t="inlineStr">
        <is>
          <t>Supplied by the operator</t>
        </is>
      </c>
    </row>
    <row r="44">
      <c r="A44" s="4" t="inlineStr">
        <is>
          <t>Taxes</t>
        </is>
      </c>
      <c r="B44" s="4" t="n"/>
      <c r="C44" s="4" t="n"/>
    </row>
    <row r="45">
      <c r="A45" s="5" t="inlineStr">
        <is>
          <t>Tax rate as billed</t>
        </is>
      </c>
      <c r="B45" s="10" t="n">
        <v>2.148</v>
      </c>
      <c r="C45" s="6" t="inlineStr">
        <is>
          <t>Rate as actually billed — not a statutory or effective rate.</t>
        </is>
      </c>
      <c r="D45" s="6" t="inlineStr">
        <is>
          <t>Synthetic county tax record — Rate table, synthetic district</t>
        </is>
      </c>
    </row>
    <row r="46">
      <c r="A46" s="5" t="inlineStr">
        <is>
          <t>Assessed value basis</t>
        </is>
      </c>
      <c r="B46" s="7" t="n">
        <v>23000000</v>
      </c>
      <c r="D46" s="6" t="inlineStr">
        <is>
          <t>Synthetic county tax record — Valuation notice</t>
        </is>
      </c>
    </row>
    <row r="47">
      <c r="A47" s="5" t="inlineStr">
        <is>
          <t>Assessment ratio</t>
        </is>
      </c>
      <c r="B47" s="11" t="n">
        <v>1</v>
      </c>
      <c r="D47" s="6" t="inlineStr">
        <is>
          <t>Synthetic county tax record — Rate table</t>
        </is>
      </c>
    </row>
    <row r="48">
      <c r="A48" s="5" t="inlineStr">
        <is>
          <t>Tax divisor</t>
        </is>
      </c>
      <c r="B48" s="7" t="n">
        <v>100</v>
      </c>
      <c r="D48" s="6" t="inlineStr">
        <is>
          <t>Synthetic county tax record — Rate table</t>
        </is>
      </c>
    </row>
    <row r="49">
      <c r="A49" s="5" t="inlineStr">
        <is>
          <t>Tax exemption</t>
        </is>
      </c>
      <c r="B49" s="7" t="n">
        <v>0</v>
      </c>
      <c r="D49" s="6" t="inlineStr">
        <is>
          <t>Synthetic county tax record — Valuation notice</t>
        </is>
      </c>
    </row>
    <row r="50">
      <c r="A50" s="5" t="inlineStr">
        <is>
          <t>Parcel / APN</t>
        </is>
      </c>
      <c r="B50" s="5" t="inlineStr">
        <is>
          <t>SYN-000-00-000</t>
        </is>
      </c>
      <c r="C50" s="6" t="inlineStr">
        <is>
          <t>The parcel the bill is issued against.</t>
        </is>
      </c>
    </row>
    <row r="51">
      <c r="A51" s="5" t="inlineStr">
        <is>
          <t>Tax area code</t>
        </is>
      </c>
      <c r="B51" s="5" t="inlineStr">
        <is>
          <t>SYN-0000</t>
        </is>
      </c>
      <c r="C51" s="6" t="inlineStr">
        <is>
          <t>Determines which published rate row applies.</t>
        </is>
      </c>
    </row>
    <row r="52">
      <c r="A52" s="5" t="inlineStr">
        <is>
          <t>Basis label</t>
        </is>
      </c>
      <c r="B52" s="5" t="inlineStr">
        <is>
          <t>Assessed value (synthetic)</t>
        </is>
      </c>
      <c r="C52" s="6" t="inlineStr">
        <is>
          <t>Synthetic basis. On a real deal this row states what the basis IS in that state and whether it resets on sale.</t>
        </is>
      </c>
    </row>
    <row r="53">
      <c r="A53" s="5" t="inlineStr">
        <is>
          <t>Computed annual tax</t>
        </is>
      </c>
      <c r="B53" s="7">
        <f>IFERROR(B46*B47/B48*B45-B49,"MISSING")</f>
        <v/>
      </c>
      <c r="C53" s="6" t="inlineStr">
        <is>
          <t>Rate as billed, 2.148 per $100 of assessed value, read from the synthetic county bill for the 2025 tax year.</t>
        </is>
      </c>
    </row>
    <row r="54">
      <c r="A54" s="5" t="inlineStr">
        <is>
          <t>Computed tax per unit</t>
        </is>
      </c>
      <c r="B54" s="7">
        <f>IFERROR(B53/B18,"MISSING")</f>
        <v/>
      </c>
    </row>
    <row r="55">
      <c r="A55" s="5" t="inlineStr">
        <is>
          <t>Billed by the county (2025)</t>
        </is>
      </c>
      <c r="B55" s="7" t="n">
        <v>494040</v>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Tex. Const. art. VIII, sec. 29 (added 2015) · The bar is on enacting a transfer tax after 2016-01-01; Texas had none, so the rate is zero. The same section expressly permits a tax on title insurance, and Texas title premiums are state-promulgated and material — a zero here does not mean a cheap closing.</t>
        </is>
      </c>
    </row>
    <row r="61">
      <c r="A61" s="5" t="inlineStr">
        <is>
          <t>Mortgage / recording tax</t>
        </is>
      </c>
      <c r="B61" s="7" t="n">
        <v>0</v>
      </c>
      <c r="C61" s="6" t="inlineStr">
        <is>
          <t>No mortgage tax · No imposing statute; Tex. Loc. Gov't Code ch. 118 · Proven by absence of an imposing statute rather than by an affirmative constitutional bar, which is a weaker form of proof than Arizona's. Recording is a flat per-page schedule.</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Example Creek Elementary</t>
        </is>
      </c>
      <c r="D65" s="6" t="inlineStr">
        <is>
          <t>Synthetic public data extract — School attendance lookup</t>
        </is>
      </c>
    </row>
    <row r="66">
      <c r="A66" s="5" t="inlineStr">
        <is>
          <t>Elementary rating</t>
        </is>
      </c>
      <c r="B66" s="8" t="n">
        <v>7</v>
      </c>
    </row>
    <row r="67">
      <c r="A67" s="5" t="inlineStr">
        <is>
          <t>Middle school</t>
        </is>
      </c>
      <c r="B67" s="5" t="inlineStr">
        <is>
          <t>Example Ridge Middle</t>
        </is>
      </c>
      <c r="D67" s="6" t="inlineStr">
        <is>
          <t>Synthetic public data extract — School attendance lookup</t>
        </is>
      </c>
    </row>
    <row r="68">
      <c r="A68" s="5" t="inlineStr">
        <is>
          <t>Middle rating</t>
        </is>
      </c>
      <c r="B68" s="8" t="n">
        <v>6</v>
      </c>
    </row>
    <row r="69">
      <c r="A69" s="5" t="inlineStr">
        <is>
          <t>High school</t>
        </is>
      </c>
      <c r="B69" s="5" t="inlineStr">
        <is>
          <t>Sample City High</t>
        </is>
      </c>
      <c r="D69" s="6" t="inlineStr">
        <is>
          <t>Synthetic public data extract — School attendance lookup</t>
        </is>
      </c>
    </row>
    <row r="70">
      <c r="A70" s="5" t="inlineStr">
        <is>
          <t>High rating</t>
        </is>
      </c>
      <c r="B70" s="8" t="n">
        <v>7</v>
      </c>
    </row>
    <row r="72">
      <c r="A72" s="4" t="inlineStr">
        <is>
          <t>Notes</t>
        </is>
      </c>
      <c r="B72" s="4" t="n"/>
      <c r="C72" s="4" t="n"/>
    </row>
    <row r="73">
      <c r="A73" s="5" t="inlineStr">
        <is>
          <t>Notes</t>
        </is>
      </c>
      <c r="B73" s="5" t="inlineStr">
        <is>
          <t>Synthetic deal built to exercise the output formats.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Any employer-owned deal data or template</t>
        </is>
      </c>
    </row>
    <row r="79">
      <c r="A79" s="13" t="inlineStr">
        <is>
          <t>Synthetic deal</t>
        </is>
      </c>
      <c r="B79" t="inlineStr">
        <is>
          <t>Every figure is fabricated for demonstration. No real property is described.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
  <sheetViews>
    <sheetView workbookViewId="0">
      <pane ySplit="5" topLeftCell="A6" activePane="bottomLeft" state="frozen"/>
      <selection pane="bottomLeft" activeCell="A1" sqref="A1"/>
    </sheetView>
  </sheetViews>
  <sheetFormatPr baseColWidth="8" defaultRowHeight="15"/>
  <cols>
    <col width="24" customWidth="1" min="1" max="1"/>
    <col width="38" customWidth="1" min="2" max="2"/>
    <col width="42" customWidth="1" min="3" max="3"/>
    <col width="12" customWidth="1" min="4" max="4"/>
    <col width="20"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2026-06-22</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applied where year known: +/-10 years of the subject's year built. 1 of 11 communities shown carry no published year and were matched on distance and product only.</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Alderwood Crossing</t>
        </is>
      </c>
      <c r="B8" s="10" t="n">
        <v>0.4</v>
      </c>
      <c r="C8" s="8" t="n">
        <v>2021</v>
      </c>
      <c r="D8" s="5" t="inlineStr">
        <is>
          <t>1BR-A</t>
        </is>
      </c>
      <c r="E8" s="15" t="n">
        <v>1</v>
      </c>
      <c r="F8" s="15" t="n">
        <v>1</v>
      </c>
      <c r="G8" s="7" t="n">
        <v>735</v>
      </c>
      <c r="H8" s="7" t="n">
        <v>1450</v>
      </c>
      <c r="I8" s="7" t="n">
        <v>45</v>
      </c>
      <c r="J8" s="7" t="n">
        <v>1405</v>
      </c>
      <c r="K8" s="16">
        <f>IFERROR(H8/G8,"")</f>
        <v/>
      </c>
      <c r="L8" s="11" t="n">
        <v>0.9399999999999999</v>
      </c>
      <c r="M8" s="17" t="n">
        <v>46195</v>
      </c>
      <c r="N8" s="5" t="inlineStr">
        <is>
          <t>own weekly scrape</t>
        </is>
      </c>
    </row>
    <row r="9">
      <c r="A9" s="5" t="inlineStr">
        <is>
          <t>Alderwood Crossing</t>
        </is>
      </c>
      <c r="B9" s="10" t="n">
        <v>0.4</v>
      </c>
      <c r="C9" s="8" t="n">
        <v>2021</v>
      </c>
      <c r="D9" s="5" t="inlineStr">
        <is>
          <t>2BR-B</t>
        </is>
      </c>
      <c r="E9" s="15" t="n">
        <v>2</v>
      </c>
      <c r="F9" s="15" t="n">
        <v>2</v>
      </c>
      <c r="G9" s="7" t="n">
        <v>1075</v>
      </c>
      <c r="H9" s="7" t="n">
        <v>1815</v>
      </c>
      <c r="I9" s="7" t="n">
        <v>45</v>
      </c>
      <c r="J9" s="7" t="n">
        <v>1770</v>
      </c>
      <c r="K9" s="16">
        <f>IFERROR(H9/G9,"")</f>
        <v/>
      </c>
      <c r="L9" s="11" t="n">
        <v>0.9399999999999999</v>
      </c>
      <c r="M9" s="17" t="n">
        <v>46195</v>
      </c>
      <c r="N9" s="5" t="inlineStr">
        <is>
          <t>own weekly scrape</t>
        </is>
      </c>
    </row>
    <row r="10">
      <c r="A10" s="5" t="inlineStr">
        <is>
          <t>Rowan Yard</t>
        </is>
      </c>
      <c r="B10" s="10" t="n">
        <v>0.6</v>
      </c>
      <c r="C10" s="12" t="n"/>
      <c r="D10" s="5" t="inlineStr">
        <is>
          <t>1BR-A</t>
        </is>
      </c>
      <c r="E10" s="15" t="n">
        <v>1</v>
      </c>
      <c r="F10" s="15" t="n">
        <v>1</v>
      </c>
      <c r="G10" s="7" t="n">
        <v>735</v>
      </c>
      <c r="H10" s="7" t="n">
        <v>1455</v>
      </c>
      <c r="I10" s="7" t="n">
        <v>0</v>
      </c>
      <c r="J10" s="7" t="n">
        <v>1455</v>
      </c>
      <c r="K10" s="16">
        <f>IFERROR(H10/G10,"")</f>
        <v/>
      </c>
      <c r="L10" s="11" t="n">
        <v>0.96</v>
      </c>
      <c r="M10" s="17" t="n">
        <v>46195</v>
      </c>
      <c r="N10" s="5" t="inlineStr">
        <is>
          <t>own weekly scrape</t>
        </is>
      </c>
    </row>
    <row r="11">
      <c r="A11" s="5" t="inlineStr">
        <is>
          <t>Rowan Yard</t>
        </is>
      </c>
      <c r="B11" s="10" t="n">
        <v>0.6</v>
      </c>
      <c r="C11" s="12" t="n"/>
      <c r="D11" s="5" t="inlineStr">
        <is>
          <t>2BR-B</t>
        </is>
      </c>
      <c r="E11" s="15" t="n">
        <v>2</v>
      </c>
      <c r="F11" s="15" t="n">
        <v>2</v>
      </c>
      <c r="G11" s="7" t="n">
        <v>1075</v>
      </c>
      <c r="H11" s="7" t="n">
        <v>1820</v>
      </c>
      <c r="I11" s="7" t="n">
        <v>0</v>
      </c>
      <c r="J11" s="7" t="n">
        <v>1820</v>
      </c>
      <c r="K11" s="16">
        <f>IFERROR(H11/G11,"")</f>
        <v/>
      </c>
      <c r="L11" s="11" t="n">
        <v>0.96</v>
      </c>
      <c r="M11" s="17" t="n">
        <v>46195</v>
      </c>
      <c r="N11" s="5" t="inlineStr">
        <is>
          <t>own weekly scrape</t>
        </is>
      </c>
    </row>
    <row r="12">
      <c r="A12" s="5" t="inlineStr">
        <is>
          <t>Sable Point</t>
        </is>
      </c>
      <c r="B12" s="10" t="n">
        <v>0.9</v>
      </c>
      <c r="C12" s="8" t="n">
        <v>2014</v>
      </c>
      <c r="D12" s="5" t="inlineStr">
        <is>
          <t>1BR-A</t>
        </is>
      </c>
      <c r="E12" s="15" t="n">
        <v>1</v>
      </c>
      <c r="F12" s="15" t="n">
        <v>1</v>
      </c>
      <c r="G12" s="7" t="n">
        <v>735</v>
      </c>
      <c r="H12" s="7" t="n">
        <v>1460</v>
      </c>
      <c r="I12" s="7" t="n">
        <v>45</v>
      </c>
      <c r="J12" s="7" t="n">
        <v>1415</v>
      </c>
      <c r="K12" s="16">
        <f>IFERROR(H12/G12,"")</f>
        <v/>
      </c>
      <c r="L12" s="11" t="n">
        <v>0.9399999999999999</v>
      </c>
      <c r="M12" s="17" t="n">
        <v>46195</v>
      </c>
      <c r="N12" s="5" t="inlineStr">
        <is>
          <t>own weekly scrape</t>
        </is>
      </c>
    </row>
    <row r="13">
      <c r="A13" s="5" t="inlineStr">
        <is>
          <t>Sable Point</t>
        </is>
      </c>
      <c r="B13" s="10" t="n">
        <v>0.9</v>
      </c>
      <c r="C13" s="8" t="n">
        <v>2014</v>
      </c>
      <c r="D13" s="5" t="inlineStr">
        <is>
          <t>2BR-B</t>
        </is>
      </c>
      <c r="E13" s="15" t="n">
        <v>2</v>
      </c>
      <c r="F13" s="15" t="n">
        <v>2</v>
      </c>
      <c r="G13" s="7" t="n">
        <v>1075</v>
      </c>
      <c r="H13" s="7" t="n">
        <v>1825</v>
      </c>
      <c r="I13" s="7" t="n">
        <v>45</v>
      </c>
      <c r="J13" s="7" t="n">
        <v>1780</v>
      </c>
      <c r="K13" s="16">
        <f>IFERROR(H13/G13,"")</f>
        <v/>
      </c>
      <c r="L13" s="11" t="n">
        <v>0.9399999999999999</v>
      </c>
      <c r="M13" s="17" t="n">
        <v>46195</v>
      </c>
      <c r="N13" s="5" t="inlineStr">
        <is>
          <t>own weekly scrape</t>
        </is>
      </c>
    </row>
    <row r="14">
      <c r="A14" s="5" t="inlineStr">
        <is>
          <t>Sable Point</t>
        </is>
      </c>
      <c r="B14" s="10" t="n">
        <v>0.9</v>
      </c>
      <c r="C14" s="8" t="n">
        <v>2014</v>
      </c>
      <c r="D14" s="5" t="inlineStr">
        <is>
          <t>3BR-C</t>
        </is>
      </c>
      <c r="E14" s="15" t="n">
        <v>3</v>
      </c>
      <c r="F14" s="15" t="n">
        <v>2.5</v>
      </c>
      <c r="G14" s="7" t="n">
        <v>1355</v>
      </c>
      <c r="H14" s="7" t="n">
        <v>2180</v>
      </c>
      <c r="I14" s="7" t="n">
        <v>45</v>
      </c>
      <c r="J14" s="7" t="n">
        <v>2135</v>
      </c>
      <c r="K14" s="16">
        <f>IFERROR(H14/G14,"")</f>
        <v/>
      </c>
      <c r="L14" s="11" t="n">
        <v>0.9399999999999999</v>
      </c>
      <c r="M14" s="17" t="n">
        <v>46195</v>
      </c>
      <c r="N14" s="5" t="inlineStr">
        <is>
          <t>own weekly scrape</t>
        </is>
      </c>
    </row>
    <row r="15">
      <c r="A15" s="5" t="inlineStr">
        <is>
          <t>Harper Station</t>
        </is>
      </c>
      <c r="B15" s="10" t="n">
        <v>1.1</v>
      </c>
      <c r="C15" s="8" t="n">
        <v>2026</v>
      </c>
      <c r="D15" s="5" t="inlineStr">
        <is>
          <t>1BR-A</t>
        </is>
      </c>
      <c r="E15" s="15" t="n">
        <v>1</v>
      </c>
      <c r="F15" s="15" t="n">
        <v>1</v>
      </c>
      <c r="G15" s="7" t="n">
        <v>735</v>
      </c>
      <c r="H15" s="7" t="n">
        <v>1465</v>
      </c>
      <c r="I15" s="7" t="n">
        <v>0</v>
      </c>
      <c r="J15" s="7" t="n">
        <v>1465</v>
      </c>
      <c r="K15" s="16">
        <f>IFERROR(H15/G15,"")</f>
        <v/>
      </c>
      <c r="L15" s="11" t="n">
        <v>0.96</v>
      </c>
      <c r="M15" s="17" t="n">
        <v>46195</v>
      </c>
      <c r="N15" s="5" t="inlineStr">
        <is>
          <t>own weekly scrape</t>
        </is>
      </c>
    </row>
    <row r="16">
      <c r="A16" s="5" t="inlineStr">
        <is>
          <t>Harper Station</t>
        </is>
      </c>
      <c r="B16" s="10" t="n">
        <v>1.1</v>
      </c>
      <c r="C16" s="8" t="n">
        <v>2026</v>
      </c>
      <c r="D16" s="5" t="inlineStr">
        <is>
          <t>2BR-B</t>
        </is>
      </c>
      <c r="E16" s="15" t="n">
        <v>2</v>
      </c>
      <c r="F16" s="15" t="n">
        <v>2</v>
      </c>
      <c r="G16" s="7" t="n">
        <v>1075</v>
      </c>
      <c r="H16" s="7" t="n">
        <v>1830</v>
      </c>
      <c r="I16" s="7" t="n">
        <v>0</v>
      </c>
      <c r="J16" s="7" t="n">
        <v>1830</v>
      </c>
      <c r="K16" s="16">
        <f>IFERROR(H16/G16,"")</f>
        <v/>
      </c>
      <c r="L16" s="11" t="n">
        <v>0.96</v>
      </c>
      <c r="M16" s="17" t="n">
        <v>46195</v>
      </c>
      <c r="N16" s="5" t="inlineStr">
        <is>
          <t>own weekly scrape</t>
        </is>
      </c>
    </row>
    <row r="17">
      <c r="A17" s="5" t="inlineStr">
        <is>
          <t>Kestrel Ridge</t>
        </is>
      </c>
      <c r="B17" s="10" t="n">
        <v>1.3</v>
      </c>
      <c r="C17" s="8" t="n">
        <v>2019</v>
      </c>
      <c r="D17" s="5" t="inlineStr">
        <is>
          <t>1BR-A</t>
        </is>
      </c>
      <c r="E17" s="15" t="n">
        <v>1</v>
      </c>
      <c r="F17" s="15" t="n">
        <v>1</v>
      </c>
      <c r="G17" s="7" t="n">
        <v>735</v>
      </c>
      <c r="H17" s="7" t="n">
        <v>1470</v>
      </c>
      <c r="I17" s="7" t="n">
        <v>45</v>
      </c>
      <c r="J17" s="7" t="n">
        <v>1425</v>
      </c>
      <c r="K17" s="16">
        <f>IFERROR(H17/G17,"")</f>
        <v/>
      </c>
      <c r="L17" s="11" t="n">
        <v>0.9399999999999999</v>
      </c>
      <c r="M17" s="17" t="n">
        <v>46195</v>
      </c>
      <c r="N17" s="5" t="inlineStr">
        <is>
          <t>own weekly scrape</t>
        </is>
      </c>
    </row>
    <row r="18">
      <c r="A18" s="5" t="inlineStr">
        <is>
          <t>Kestrel Ridge</t>
        </is>
      </c>
      <c r="B18" s="10" t="n">
        <v>1.3</v>
      </c>
      <c r="C18" s="8" t="n">
        <v>2019</v>
      </c>
      <c r="D18" s="5" t="inlineStr">
        <is>
          <t>2BR-B</t>
        </is>
      </c>
      <c r="E18" s="15" t="n">
        <v>2</v>
      </c>
      <c r="F18" s="15" t="n">
        <v>2</v>
      </c>
      <c r="G18" s="7" t="n">
        <v>1075</v>
      </c>
      <c r="H18" s="7" t="n">
        <v>1835</v>
      </c>
      <c r="I18" s="7" t="n">
        <v>45</v>
      </c>
      <c r="J18" s="7" t="n">
        <v>1790</v>
      </c>
      <c r="K18" s="16">
        <f>IFERROR(H18/G18,"")</f>
        <v/>
      </c>
      <c r="L18" s="11" t="n">
        <v>0.9399999999999999</v>
      </c>
      <c r="M18" s="17" t="n">
        <v>46195</v>
      </c>
      <c r="N18" s="5" t="inlineStr">
        <is>
          <t>own weekly scrape</t>
        </is>
      </c>
    </row>
    <row r="19"/>
    <row r="20">
      <c r="A20" s="4" t="inlineStr">
        <is>
          <t>Tier 2 — Additional comps: the next 6 communities matching the subject's product and vintage</t>
        </is>
      </c>
      <c r="B20" s="4" t="n"/>
      <c r="C20" s="4" t="n"/>
      <c r="D20" s="4" t="n"/>
      <c r="E20" s="4" t="n"/>
      <c r="F20" s="4" t="n"/>
    </row>
    <row r="21">
      <c r="A21" s="14" t="inlineStr">
        <is>
          <t>Community</t>
        </is>
      </c>
      <c r="B21" s="14" t="inlineStr">
        <is>
          <t>Distance (mi)</t>
        </is>
      </c>
      <c r="C21" s="14" t="inlineStr">
        <is>
          <t>Year built</t>
        </is>
      </c>
      <c r="D21" s="14" t="inlineStr">
        <is>
          <t>Floor plan</t>
        </is>
      </c>
      <c r="E21" s="14" t="inlineStr">
        <is>
          <t>Beds</t>
        </is>
      </c>
      <c r="F21" s="14" t="inlineStr">
        <is>
          <t>Baths</t>
        </is>
      </c>
      <c r="G21" s="14" t="inlineStr">
        <is>
          <t>SF</t>
        </is>
      </c>
      <c r="H21" s="14" t="inlineStr">
        <is>
          <t>Asking rent</t>
        </is>
      </c>
      <c r="I21" s="14" t="inlineStr">
        <is>
          <t>Concession</t>
        </is>
      </c>
      <c r="J21" s="14" t="inlineStr">
        <is>
          <t>Net effective rent</t>
        </is>
      </c>
      <c r="K21" s="14" t="inlineStr">
        <is>
          <t>Asking $/SF</t>
        </is>
      </c>
      <c r="L21" s="14" t="inlineStr">
        <is>
          <t>Occupancy</t>
        </is>
      </c>
      <c r="M21" s="14" t="inlineStr">
        <is>
          <t>As-of date</t>
        </is>
      </c>
      <c r="N21" s="14" t="inlineStr">
        <is>
          <t>Source</t>
        </is>
      </c>
    </row>
    <row r="22">
      <c r="A22" s="5" t="inlineStr">
        <is>
          <t>Linden Mill</t>
        </is>
      </c>
      <c r="B22" s="10" t="n">
        <v>1.5</v>
      </c>
      <c r="C22" s="8" t="n">
        <v>2011</v>
      </c>
      <c r="D22" s="5" t="inlineStr">
        <is>
          <t>1BR-A</t>
        </is>
      </c>
      <c r="E22" s="15" t="n">
        <v>1</v>
      </c>
      <c r="F22" s="15" t="n">
        <v>1</v>
      </c>
      <c r="G22" s="7" t="n">
        <v>735</v>
      </c>
      <c r="H22" s="7" t="n">
        <v>1475</v>
      </c>
      <c r="I22" s="7" t="n">
        <v>0</v>
      </c>
      <c r="J22" s="7" t="n">
        <v>1475</v>
      </c>
      <c r="K22" s="16">
        <f>IFERROR(H22/G22,"")</f>
        <v/>
      </c>
      <c r="L22" s="11" t="n">
        <v>0.96</v>
      </c>
      <c r="M22" s="17" t="n">
        <v>46195</v>
      </c>
      <c r="N22" s="5" t="inlineStr">
        <is>
          <t>own weekly scrape</t>
        </is>
      </c>
    </row>
    <row r="23">
      <c r="A23" s="5" t="inlineStr">
        <is>
          <t>Linden Mill</t>
        </is>
      </c>
      <c r="B23" s="10" t="n">
        <v>1.5</v>
      </c>
      <c r="C23" s="8" t="n">
        <v>2011</v>
      </c>
      <c r="D23" s="5" t="inlineStr">
        <is>
          <t>2BR-B</t>
        </is>
      </c>
      <c r="E23" s="15" t="n">
        <v>2</v>
      </c>
      <c r="F23" s="15" t="n">
        <v>2</v>
      </c>
      <c r="G23" s="7" t="n">
        <v>1075</v>
      </c>
      <c r="H23" s="7" t="n">
        <v>1840</v>
      </c>
      <c r="I23" s="7" t="n">
        <v>0</v>
      </c>
      <c r="J23" s="7" t="n">
        <v>1840</v>
      </c>
      <c r="K23" s="16">
        <f>IFERROR(H23/G23,"")</f>
        <v/>
      </c>
      <c r="L23" s="11" t="n">
        <v>0.96</v>
      </c>
      <c r="M23" s="17" t="n">
        <v>46195</v>
      </c>
      <c r="N23" s="5" t="inlineStr">
        <is>
          <t>own weekly scrape</t>
        </is>
      </c>
    </row>
    <row r="24">
      <c r="A24" s="5" t="inlineStr">
        <is>
          <t>Linden Mill</t>
        </is>
      </c>
      <c r="B24" s="10" t="n">
        <v>1.5</v>
      </c>
      <c r="C24" s="8" t="n">
        <v>2011</v>
      </c>
      <c r="D24" s="5" t="inlineStr">
        <is>
          <t>3BR-C</t>
        </is>
      </c>
      <c r="E24" s="15" t="n">
        <v>3</v>
      </c>
      <c r="F24" s="15" t="n">
        <v>2.5</v>
      </c>
      <c r="G24" s="7" t="n">
        <v>1355</v>
      </c>
      <c r="H24" s="7" t="n">
        <v>2195</v>
      </c>
      <c r="I24" s="7" t="n">
        <v>0</v>
      </c>
      <c r="J24" s="7" t="n">
        <v>2195</v>
      </c>
      <c r="K24" s="16">
        <f>IFERROR(H24/G24,"")</f>
        <v/>
      </c>
      <c r="L24" s="11" t="n">
        <v>0.96</v>
      </c>
      <c r="M24" s="17" t="n">
        <v>46195</v>
      </c>
      <c r="N24" s="5" t="inlineStr">
        <is>
          <t>own weekly scrape</t>
        </is>
      </c>
    </row>
    <row r="25">
      <c r="A25" s="5" t="inlineStr">
        <is>
          <t>Pinegate Commons</t>
        </is>
      </c>
      <c r="B25" s="10" t="n">
        <v>1.6</v>
      </c>
      <c r="C25" s="8" t="n">
        <v>2009</v>
      </c>
      <c r="D25" s="5" t="inlineStr">
        <is>
          <t>1BR-A</t>
        </is>
      </c>
      <c r="E25" s="15" t="n">
        <v>1</v>
      </c>
      <c r="F25" s="15" t="n">
        <v>1</v>
      </c>
      <c r="G25" s="7" t="n">
        <v>735</v>
      </c>
      <c r="H25" s="7" t="n">
        <v>1480</v>
      </c>
      <c r="I25" s="7" t="n">
        <v>45</v>
      </c>
      <c r="J25" s="7" t="n">
        <v>1435</v>
      </c>
      <c r="K25" s="16">
        <f>IFERROR(H25/G25,"")</f>
        <v/>
      </c>
      <c r="L25" s="11" t="n">
        <v>0.9399999999999999</v>
      </c>
      <c r="M25" s="17" t="n">
        <v>46195</v>
      </c>
      <c r="N25" s="5" t="inlineStr">
        <is>
          <t>own weekly scrape</t>
        </is>
      </c>
    </row>
    <row r="26">
      <c r="A26" s="5" t="inlineStr">
        <is>
          <t>Pinegate Commons</t>
        </is>
      </c>
      <c r="B26" s="10" t="n">
        <v>1.6</v>
      </c>
      <c r="C26" s="8" t="n">
        <v>2009</v>
      </c>
      <c r="D26" s="5" t="inlineStr">
        <is>
          <t>2BR-B</t>
        </is>
      </c>
      <c r="E26" s="15" t="n">
        <v>2</v>
      </c>
      <c r="F26" s="15" t="n">
        <v>2</v>
      </c>
      <c r="G26" s="7" t="n">
        <v>1075</v>
      </c>
      <c r="H26" s="7" t="n">
        <v>1845</v>
      </c>
      <c r="I26" s="7" t="n">
        <v>45</v>
      </c>
      <c r="J26" s="7" t="n">
        <v>1800</v>
      </c>
      <c r="K26" s="16">
        <f>IFERROR(H26/G26,"")</f>
        <v/>
      </c>
      <c r="L26" s="11" t="n">
        <v>0.9399999999999999</v>
      </c>
      <c r="M26" s="17" t="n">
        <v>46195</v>
      </c>
      <c r="N26" s="5" t="inlineStr">
        <is>
          <t>own weekly scrape</t>
        </is>
      </c>
    </row>
    <row r="27">
      <c r="A27" s="5" t="inlineStr">
        <is>
          <t>Quarry Flats</t>
        </is>
      </c>
      <c r="B27" s="10" t="n">
        <v>1.8</v>
      </c>
      <c r="C27" s="8" t="n">
        <v>2029</v>
      </c>
      <c r="D27" s="5" t="inlineStr">
        <is>
          <t>1BR-A</t>
        </is>
      </c>
      <c r="E27" s="15" t="n">
        <v>1</v>
      </c>
      <c r="F27" s="15" t="n">
        <v>1</v>
      </c>
      <c r="G27" s="7" t="n">
        <v>735</v>
      </c>
      <c r="H27" s="7" t="n">
        <v>1485</v>
      </c>
      <c r="I27" s="7" t="n">
        <v>0</v>
      </c>
      <c r="J27" s="7" t="n">
        <v>1485</v>
      </c>
      <c r="K27" s="16">
        <f>IFERROR(H27/G27,"")</f>
        <v/>
      </c>
      <c r="L27" s="11" t="n">
        <v>0.96</v>
      </c>
      <c r="M27" s="17" t="n">
        <v>46195</v>
      </c>
      <c r="N27" s="5" t="inlineStr">
        <is>
          <t>own weekly scrape</t>
        </is>
      </c>
    </row>
    <row r="28">
      <c r="A28" s="5" t="inlineStr">
        <is>
          <t>Quarry Flats</t>
        </is>
      </c>
      <c r="B28" s="10" t="n">
        <v>1.8</v>
      </c>
      <c r="C28" s="8" t="n">
        <v>2029</v>
      </c>
      <c r="D28" s="5" t="inlineStr">
        <is>
          <t>2BR-B</t>
        </is>
      </c>
      <c r="E28" s="15" t="n">
        <v>2</v>
      </c>
      <c r="F28" s="15" t="n">
        <v>2</v>
      </c>
      <c r="G28" s="7" t="n">
        <v>1075</v>
      </c>
      <c r="H28" s="7" t="n">
        <v>1850</v>
      </c>
      <c r="I28" s="7" t="n">
        <v>0</v>
      </c>
      <c r="J28" s="7" t="n">
        <v>1850</v>
      </c>
      <c r="K28" s="16">
        <f>IFERROR(H28/G28,"")</f>
        <v/>
      </c>
      <c r="L28" s="11" t="n">
        <v>0.96</v>
      </c>
      <c r="M28" s="17" t="n">
        <v>46195</v>
      </c>
      <c r="N28" s="5" t="inlineStr">
        <is>
          <t>own weekly scrape</t>
        </is>
      </c>
    </row>
    <row r="29">
      <c r="A29" s="5" t="inlineStr">
        <is>
          <t>Marrow Bend</t>
        </is>
      </c>
      <c r="B29" s="10" t="n">
        <v>2</v>
      </c>
      <c r="C29" s="8" t="n">
        <v>2028</v>
      </c>
      <c r="D29" s="5" t="inlineStr">
        <is>
          <t>1BR-A</t>
        </is>
      </c>
      <c r="E29" s="15" t="n">
        <v>1</v>
      </c>
      <c r="F29" s="15" t="n">
        <v>1</v>
      </c>
      <c r="G29" s="7" t="n">
        <v>735</v>
      </c>
      <c r="H29" s="7" t="n">
        <v>1490</v>
      </c>
      <c r="I29" s="7" t="n">
        <v>45</v>
      </c>
      <c r="J29" s="7" t="n">
        <v>1445</v>
      </c>
      <c r="K29" s="16">
        <f>IFERROR(H29/G29,"")</f>
        <v/>
      </c>
      <c r="L29" s="11" t="n">
        <v>0.9399999999999999</v>
      </c>
      <c r="M29" s="17" t="n">
        <v>46195</v>
      </c>
      <c r="N29" s="5" t="inlineStr">
        <is>
          <t>own weekly scrape</t>
        </is>
      </c>
    </row>
    <row r="30">
      <c r="A30" s="5" t="inlineStr">
        <is>
          <t>Marrow Bend</t>
        </is>
      </c>
      <c r="B30" s="10" t="n">
        <v>2</v>
      </c>
      <c r="C30" s="8" t="n">
        <v>2028</v>
      </c>
      <c r="D30" s="5" t="inlineStr">
        <is>
          <t>2BR-B</t>
        </is>
      </c>
      <c r="E30" s="15" t="n">
        <v>2</v>
      </c>
      <c r="F30" s="15" t="n">
        <v>2</v>
      </c>
      <c r="G30" s="7" t="n">
        <v>1075</v>
      </c>
      <c r="H30" s="7" t="n">
        <v>1855</v>
      </c>
      <c r="I30" s="7" t="n">
        <v>45</v>
      </c>
      <c r="J30" s="7" t="n">
        <v>1810</v>
      </c>
      <c r="K30" s="16">
        <f>IFERROR(H30/G30,"")</f>
        <v/>
      </c>
      <c r="L30" s="11" t="n">
        <v>0.9399999999999999</v>
      </c>
      <c r="M30" s="17" t="n">
        <v>46195</v>
      </c>
      <c r="N30" s="5" t="inlineStr">
        <is>
          <t>own weekly scrape</t>
        </is>
      </c>
    </row>
    <row r="31">
      <c r="A31" s="5" t="inlineStr">
        <is>
          <t>Marrow Bend</t>
        </is>
      </c>
      <c r="B31" s="10" t="n">
        <v>2</v>
      </c>
      <c r="C31" s="8" t="n">
        <v>2028</v>
      </c>
      <c r="D31" s="5" t="inlineStr">
        <is>
          <t>3BR-C</t>
        </is>
      </c>
      <c r="E31" s="15" t="n">
        <v>3</v>
      </c>
      <c r="F31" s="15" t="n">
        <v>2.5</v>
      </c>
      <c r="G31" s="7" t="n">
        <v>1355</v>
      </c>
      <c r="H31" s="7" t="n">
        <v>2210</v>
      </c>
      <c r="I31" s="7" t="n">
        <v>45</v>
      </c>
      <c r="J31" s="7" t="n">
        <v>2165</v>
      </c>
      <c r="K31" s="16">
        <f>IFERROR(H31/G31,"")</f>
        <v/>
      </c>
      <c r="L31" s="11" t="n">
        <v>0.9399999999999999</v>
      </c>
      <c r="M31" s="17" t="n">
        <v>46195</v>
      </c>
      <c r="N31" s="5" t="inlineStr">
        <is>
          <t>own weekly scrape</t>
        </is>
      </c>
    </row>
    <row r="32">
      <c r="A32" s="5" t="inlineStr">
        <is>
          <t>Nyland Court</t>
        </is>
      </c>
      <c r="B32" s="10" t="n">
        <v>2.2</v>
      </c>
      <c r="C32" s="8" t="n">
        <v>2016</v>
      </c>
      <c r="D32" s="5" t="inlineStr">
        <is>
          <t>1BR-A</t>
        </is>
      </c>
      <c r="E32" s="15" t="n">
        <v>1</v>
      </c>
      <c r="F32" s="15" t="n">
        <v>1</v>
      </c>
      <c r="G32" s="7" t="n">
        <v>735</v>
      </c>
      <c r="H32" s="7" t="n">
        <v>1495</v>
      </c>
      <c r="I32" s="7" t="n">
        <v>0</v>
      </c>
      <c r="J32" s="7" t="n">
        <v>1495</v>
      </c>
      <c r="K32" s="16">
        <f>IFERROR(H32/G32,"")</f>
        <v/>
      </c>
      <c r="L32" s="11" t="n">
        <v>0.96</v>
      </c>
      <c r="M32" s="17" t="n">
        <v>46195</v>
      </c>
      <c r="N32" s="5" t="inlineStr">
        <is>
          <t>own weekly scrape</t>
        </is>
      </c>
    </row>
    <row r="33">
      <c r="A33" s="5" t="inlineStr">
        <is>
          <t>Nyland Court</t>
        </is>
      </c>
      <c r="B33" s="10" t="n">
        <v>2.2</v>
      </c>
      <c r="C33" s="8" t="n">
        <v>2016</v>
      </c>
      <c r="D33" s="5" t="inlineStr">
        <is>
          <t>2BR-B</t>
        </is>
      </c>
      <c r="E33" s="15" t="n">
        <v>2</v>
      </c>
      <c r="F33" s="15" t="n">
        <v>2</v>
      </c>
      <c r="G33" s="7" t="n">
        <v>1075</v>
      </c>
      <c r="H33" s="7" t="n">
        <v>1860</v>
      </c>
      <c r="I33" s="7" t="n">
        <v>0</v>
      </c>
      <c r="J33" s="7" t="n">
        <v>1860</v>
      </c>
      <c r="K33" s="16">
        <f>IFERROR(H33/G33,"")</f>
        <v/>
      </c>
      <c r="L33" s="11" t="n">
        <v>0.96</v>
      </c>
      <c r="M33" s="17" t="n">
        <v>46195</v>
      </c>
      <c r="N33" s="5" t="inlineStr">
        <is>
          <t>own weekly scrape</t>
        </is>
      </c>
    </row>
    <row r="34">
      <c r="A34" s="5" t="inlineStr">
        <is>
          <t>Orchard Vale</t>
        </is>
      </c>
      <c r="B34" s="10" t="n">
        <v>2.4</v>
      </c>
      <c r="C34" s="8" t="n">
        <v>2023</v>
      </c>
      <c r="D34" s="5" t="inlineStr">
        <is>
          <t>1BR-A</t>
        </is>
      </c>
      <c r="E34" s="15" t="n">
        <v>1</v>
      </c>
      <c r="F34" s="15" t="n">
        <v>1</v>
      </c>
      <c r="G34" s="7" t="n">
        <v>735</v>
      </c>
      <c r="H34" s="7" t="n">
        <v>1500</v>
      </c>
      <c r="I34" s="7" t="n">
        <v>45</v>
      </c>
      <c r="J34" s="7" t="n">
        <v>1455</v>
      </c>
      <c r="K34" s="16">
        <f>IFERROR(H34/G34,"")</f>
        <v/>
      </c>
      <c r="L34" s="11" t="n">
        <v>0.9399999999999999</v>
      </c>
      <c r="M34" s="17" t="n">
        <v>46195</v>
      </c>
      <c r="N34" s="5" t="inlineStr">
        <is>
          <t>own weekly scrape</t>
        </is>
      </c>
    </row>
    <row r="35">
      <c r="A35" s="5" t="inlineStr">
        <is>
          <t>Orchard Vale</t>
        </is>
      </c>
      <c r="B35" s="10" t="n">
        <v>2.4</v>
      </c>
      <c r="C35" s="8" t="n">
        <v>2023</v>
      </c>
      <c r="D35" s="5" t="inlineStr">
        <is>
          <t>2BR-B</t>
        </is>
      </c>
      <c r="E35" s="15" t="n">
        <v>2</v>
      </c>
      <c r="F35" s="15" t="n">
        <v>2</v>
      </c>
      <c r="G35" s="7" t="n">
        <v>1075</v>
      </c>
      <c r="H35" s="7" t="n">
        <v>1865</v>
      </c>
      <c r="I35" s="7" t="n">
        <v>45</v>
      </c>
      <c r="J35" s="7" t="n">
        <v>1820</v>
      </c>
      <c r="K35" s="16">
        <f>IFERROR(H35/G35,"")</f>
        <v/>
      </c>
      <c r="L35" s="11" t="n">
        <v>0.9399999999999999</v>
      </c>
      <c r="M35" s="17" t="n">
        <v>46195</v>
      </c>
      <c r="N35" s="5" t="inlineStr">
        <is>
          <t>own weekly scrape</t>
        </is>
      </c>
    </row>
    <row r="36"/>
    <row r="37">
      <c r="A37" s="4" t="inlineStr">
        <is>
          <t>Tier 3 — Also nearby: 4 tracked communities inside the radius that are not comps, and why</t>
        </is>
      </c>
      <c r="B37" s="4" t="n"/>
      <c r="C37" s="4" t="n"/>
      <c r="D37" s="4" t="n"/>
      <c r="E37" s="4" t="n"/>
      <c r="F37" s="4" t="n"/>
    </row>
    <row r="38">
      <c r="A38" s="5" t="inlineStr">
        <is>
          <t>Identity only, by design. No rent is shown for these — a rent on a row that did not pass the comp criteria reads as a comp.</t>
        </is>
      </c>
    </row>
    <row r="39">
      <c r="A39" s="14" t="inlineStr">
        <is>
          <t>Community</t>
        </is>
      </c>
      <c r="B39" s="14" t="inlineStr">
        <is>
          <t>Address</t>
        </is>
      </c>
      <c r="C39" s="14" t="inlineStr">
        <is>
          <t>Distance (mi)</t>
        </is>
      </c>
      <c r="D39" s="14" t="inlineStr">
        <is>
          <t>Units</t>
        </is>
      </c>
      <c r="E39" s="14" t="inlineStr">
        <is>
          <t>Product</t>
        </is>
      </c>
      <c r="F39" s="14" t="inlineStr">
        <is>
          <t>Year built</t>
        </is>
      </c>
      <c r="G39" s="14" t="inlineStr">
        <is>
          <t>Not a comp because</t>
        </is>
      </c>
    </row>
    <row r="40">
      <c r="A40" s="5" t="inlineStr">
        <is>
          <t>Rushmere Townhomes</t>
        </is>
      </c>
      <c r="B40" s="5" t="inlineStr">
        <is>
          <t>375 Sample Street, Demo City</t>
        </is>
      </c>
      <c r="C40" s="10" t="n">
        <v>0.5</v>
      </c>
      <c r="D40" s="7" t="n">
        <v>96</v>
      </c>
      <c r="E40" s="5" t="inlineStr">
        <is>
          <t>bfr</t>
        </is>
      </c>
      <c r="F40" s="8" t="n">
        <v>2022</v>
      </c>
      <c r="G40" s="5" t="inlineStr">
        <is>
          <t>different product: tracked as bfr, subject is MF</t>
        </is>
      </c>
    </row>
    <row r="41">
      <c r="A41" s="5" t="inlineStr">
        <is>
          <t>Stonecrest Lofts</t>
        </is>
      </c>
      <c r="B41" s="5" t="inlineStr">
        <is>
          <t>400 Sample Street, Demo City</t>
        </is>
      </c>
      <c r="C41" s="10" t="n">
        <v>0.8</v>
      </c>
      <c r="D41" s="7" t="n">
        <v>132</v>
      </c>
      <c r="E41" s="5" t="inlineStr">
        <is>
          <t>mf</t>
        </is>
      </c>
      <c r="F41" s="8" t="n">
        <v>1998</v>
      </c>
      <c r="G41" s="5" t="inlineStr">
        <is>
          <t>vintage 1998 is 21 years from the subject's 2019, outside the +/-10-year band</t>
        </is>
      </c>
    </row>
    <row r="42">
      <c r="A42" s="5" t="inlineStr">
        <is>
          <t>Tallow Creek</t>
        </is>
      </c>
      <c r="B42" s="5" t="inlineStr">
        <is>
          <t>425 Sample Street, Demo City</t>
        </is>
      </c>
      <c r="C42" s="10" t="n">
        <v>1</v>
      </c>
      <c r="D42" s="7" t="n">
        <v>144</v>
      </c>
      <c r="E42" s="5" t="inlineStr">
        <is>
          <t>mf</t>
        </is>
      </c>
      <c r="F42" s="8" t="n">
        <v>2018</v>
      </c>
      <c r="G42" s="5" t="inlineStr">
        <is>
          <t>no quoted rent in the latest scrape of this community</t>
        </is>
      </c>
    </row>
    <row r="43">
      <c r="A43" s="5" t="inlineStr">
        <is>
          <t>Underhill Residences</t>
        </is>
      </c>
      <c r="B43" s="5" t="inlineStr">
        <is>
          <t>450 Sample Street, Demo City</t>
        </is>
      </c>
      <c r="C43" s="10" t="n">
        <v>1.2</v>
      </c>
      <c r="D43" s="7" t="n">
        <v>88</v>
      </c>
      <c r="E43" s="5" t="inlineStr">
        <is>
          <t>mf</t>
        </is>
      </c>
      <c r="F43" s="8" t="n">
        <v>2020</v>
      </c>
      <c r="G43" s="5" t="inlineStr">
        <is>
          <t>excluded from comp sets by the tracker: income_restricted</t>
        </is>
      </c>
    </row>
    <row r="44"/>
    <row r="45">
      <c r="A45" s="4" t="inlineStr">
        <is>
          <t>By bed count — like for like</t>
        </is>
      </c>
      <c r="B45" s="4" t="n"/>
      <c r="C45" s="4" t="n"/>
      <c r="D45" s="4" t="n"/>
      <c r="E45" s="4" t="n"/>
    </row>
    <row r="46">
      <c r="A46" s="14" t="inlineStr">
        <is>
          <t>Beds</t>
        </is>
      </c>
      <c r="B46" s="14" t="inlineStr">
        <is>
          <t>Communities</t>
        </is>
      </c>
      <c r="C46" s="14" t="inlineStr">
        <is>
          <t>Plans</t>
        </is>
      </c>
      <c r="D46" s="14" t="inlineStr">
        <is>
          <t>Avg asking</t>
        </is>
      </c>
      <c r="E46" s="14" t="inlineStr">
        <is>
          <t>Avg net effective</t>
        </is>
      </c>
    </row>
    <row r="47">
      <c r="A47" s="5" t="inlineStr">
        <is>
          <t>1 bed</t>
        </is>
      </c>
      <c r="B47" s="7" t="n">
        <v>11</v>
      </c>
      <c r="C47" s="7" t="n">
        <v>11</v>
      </c>
      <c r="D47" s="7" t="n">
        <v>1475</v>
      </c>
      <c r="E47" s="7" t="n">
        <v>1450.454545454545</v>
      </c>
    </row>
    <row r="48">
      <c r="A48" s="5" t="inlineStr">
        <is>
          <t>2 bed</t>
        </is>
      </c>
      <c r="B48" s="7" t="n">
        <v>11</v>
      </c>
      <c r="C48" s="7" t="n">
        <v>11</v>
      </c>
      <c r="D48" s="7" t="n">
        <v>1840</v>
      </c>
      <c r="E48" s="7" t="n">
        <v>1815.454545454545</v>
      </c>
    </row>
    <row r="49">
      <c r="A49" s="5" t="inlineStr">
        <is>
          <t>3 bed</t>
        </is>
      </c>
      <c r="B49" s="7" t="n">
        <v>3</v>
      </c>
      <c r="C49" s="7" t="n">
        <v>3</v>
      </c>
      <c r="D49" s="7" t="n">
        <v>2195</v>
      </c>
      <c r="E49" s="7" t="n">
        <v>2165</v>
      </c>
    </row>
    <row r="50"/>
    <row r="51">
      <c r="A51" s="4" t="inlineStr">
        <is>
          <t>Subject versus comp set — detailed tiers only</t>
        </is>
      </c>
      <c r="B51" s="4" t="n"/>
      <c r="C51" s="4" t="n"/>
      <c r="D51" s="4" t="n"/>
    </row>
    <row r="52">
      <c r="A52" s="5" t="inlineStr">
        <is>
          <t>Subject market rent</t>
        </is>
      </c>
      <c r="B52" s="7" t="n">
        <v>1834.78</v>
      </c>
      <c r="C52" s="6" t="inlineStr">
        <is>
          <t>Unit-weighted market rent for model, whole property.</t>
        </is>
      </c>
    </row>
    <row r="53">
      <c r="A53" s="5" t="inlineStr">
        <is>
          <t>Comp-set average asking</t>
        </is>
      </c>
      <c r="B53" s="7">
        <f>IFERROR(AVERAGE(H8:H18,H22:H35),"")</f>
        <v/>
      </c>
      <c r="C53" s="6" t="inlineStr">
        <is>
          <t>Over 11 communities in the detailed tiers (top 5 plus next 15) — never the whole radius.</t>
        </is>
      </c>
    </row>
    <row r="54">
      <c r="A54" s="5" t="inlineStr">
        <is>
          <t>Comp-set average net effective</t>
        </is>
      </c>
      <c r="B54" s="7">
        <f>IFERROR(AVERAGE(J8:J18,J22:J35),"")</f>
        <v/>
      </c>
    </row>
    <row r="55">
      <c r="A55" s="5" t="inlineStr">
        <is>
          <t>Comp set, mix-matched</t>
        </is>
      </c>
      <c r="B55" s="7" t="n">
        <v>1767.409090909091</v>
      </c>
      <c r="C55" s="6" t="inlineStr">
        <is>
          <t>Each bed count's comp net-effective weighted by the subject's own unit mix, so both sides describe the same product.</t>
        </is>
      </c>
    </row>
    <row r="56">
      <c r="A56" s="5" t="inlineStr">
        <is>
          <t>Subject rent, same bed counts</t>
        </is>
      </c>
      <c r="B56" s="7" t="n">
        <v>1834.777777777778</v>
      </c>
      <c r="C56" s="6" t="inlineStr">
        <is>
          <t>Restricted to the bed counts the comp set covers: [1, 2, 3].</t>
        </is>
      </c>
    </row>
    <row r="57">
      <c r="A57" s="5" t="inlineStr">
        <is>
          <t>Mix coverage</t>
        </is>
      </c>
      <c r="B57" s="11" t="n">
        <v>1</v>
      </c>
      <c r="C57" s="6" t="inlineStr">
        <is>
          <t>Share of the subject's units actually compared, by bed count and priced plan.</t>
        </is>
      </c>
    </row>
    <row r="58">
      <c r="A58" s="5" t="inlineStr">
        <is>
          <t>Subject vs comp set (mix-matched)</t>
        </is>
      </c>
      <c r="B58" s="11">
        <f>IFERROR(B56/B55-1,"")</f>
        <v/>
      </c>
      <c r="C58" s="6" t="inlineStr">
        <is>
          <t>Negative means the subject is underwritten BELOW the market — mark-to-market room rather than a stretch.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SYN-000-00-000</t>
        </is>
      </c>
      <c r="D6" s="6" t="inlineStr">
        <is>
          <t>Synthetic county tax record — Parcel record</t>
        </is>
      </c>
    </row>
    <row r="7">
      <c r="A7" s="5" t="inlineStr">
        <is>
          <t>Tax area code</t>
        </is>
      </c>
      <c r="B7" s="5" t="inlineStr">
        <is>
          <t>SYN-0000</t>
        </is>
      </c>
      <c r="D7" s="6" t="inlineStr">
        <is>
          <t>Synthetic county tax record — Rate table</t>
        </is>
      </c>
    </row>
    <row r="8">
      <c r="A8" s="5" t="inlineStr">
        <is>
          <t>Combined rate (per $100 of assessed value)</t>
        </is>
      </c>
      <c r="B8" s="10" t="n">
        <v>2.148</v>
      </c>
      <c r="C8" s="6" t="inlineStr">
        <is>
          <t>Rate as actually billed — not a statutory or effective rate.</t>
        </is>
      </c>
      <c r="D8" s="6" t="inlineStr">
        <is>
          <t>Synthetic county tax record — Rate table, synthetic district</t>
        </is>
      </c>
    </row>
    <row r="9">
      <c r="A9" s="5" t="inlineStr">
        <is>
          <t>Assessment ratio (legal class)</t>
        </is>
      </c>
      <c r="B9" s="11" t="n">
        <v>1</v>
      </c>
      <c r="D9" s="6" t="inlineStr">
        <is>
          <t>Synthetic county tax record — Rate table</t>
        </is>
      </c>
    </row>
    <row r="10">
      <c r="A10" s="5" t="inlineStr">
        <is>
          <t>Rate evidence</t>
        </is>
      </c>
      <c r="B10" s="12" t="n"/>
      <c r="C10" s="6" t="inlineStr">
        <is>
          <t>Rate as billed, 2.148 per $100 of assessed value, read from the synthetic county bill for the 2025 tax year.</t>
        </is>
      </c>
    </row>
    <row r="11"/>
    <row r="12">
      <c r="A12" s="4" t="inlineStr">
        <is>
          <t>Current year — computed, then checked against the bill</t>
        </is>
      </c>
      <c r="B12" s="4" t="n"/>
      <c r="C12" s="4" t="n"/>
      <c r="D12" s="4" t="n"/>
    </row>
    <row r="13">
      <c r="A13" s="5" t="inlineStr">
        <is>
          <t>Assessed-value basis</t>
        </is>
      </c>
      <c r="B13" s="7" t="n">
        <v>23000000</v>
      </c>
      <c r="C13" s="6" t="inlineStr">
        <is>
          <t>Assessed value (synthetic)</t>
        </is>
      </c>
      <c r="D13" s="6" t="inlineStr">
        <is>
          <t>Synthetic county tax record — Valuation notice</t>
        </is>
      </c>
    </row>
    <row r="14">
      <c r="A14" s="5" t="inlineStr">
        <is>
          <t>Assessment ratio</t>
        </is>
      </c>
      <c r="B14" s="11" t="n">
        <v>1</v>
      </c>
    </row>
    <row r="15">
      <c r="A15" s="5" t="inlineStr">
        <is>
          <t>Assessed value</t>
        </is>
      </c>
      <c r="B15" s="7">
        <f>B13*B14</f>
        <v/>
      </c>
      <c r="C15" s="6" t="inlineStr">
        <is>
          <t>Basis times the legal-class ratio.</t>
        </is>
      </c>
    </row>
    <row r="16">
      <c r="A16" s="5" t="inlineStr">
        <is>
          <t>Combined rate</t>
        </is>
      </c>
      <c r="B16" s="10" t="n">
        <v>2.148</v>
      </c>
    </row>
    <row r="17">
      <c r="A17" s="5" t="inlineStr">
        <is>
          <t>Rate divisor (per)</t>
        </is>
      </c>
      <c r="B17" s="7" t="n">
        <v>100</v>
      </c>
      <c r="C17" s="6" t="inlineStr">
        <is>
          <t>The rate's unit. Never defaulted: it decides whether the rate is per $100 or per $1,000.</t>
        </is>
      </c>
    </row>
    <row r="18">
      <c r="A18" s="5" t="inlineStr">
        <is>
          <t>Exemption</t>
        </is>
      </c>
      <c r="B18" s="7" t="n">
        <v>0</v>
      </c>
      <c r="D18" s="6" t="inlineStr">
        <is>
          <t>Synthetic county tax record — Valuation notice</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7" t="n">
        <v>494040</v>
      </c>
      <c r="C20" s="6" t="inlineStr">
        <is>
          <t>As billed for 2025.</t>
        </is>
      </c>
      <c r="D20" s="6" t="inlineStr">
        <is>
          <t>Synthetic county tax record — Tax bill</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ties</t>
        </is>
      </c>
      <c r="C22" s="6" t="inlineStr">
        <is>
          <t>Ties within 2% of the billed figure.</t>
        </is>
      </c>
    </row>
    <row r="23"/>
    <row r="24">
      <c r="A24" s="4" t="inlineStr">
        <is>
          <t>Underwriting assumption at the illustrative price</t>
        </is>
      </c>
      <c r="B24" s="4" t="n"/>
      <c r="C24" s="4" t="n"/>
      <c r="D24" s="4" t="n"/>
    </row>
    <row r="25">
      <c r="A25" s="5" t="inlineStr">
        <is>
          <t>State</t>
        </is>
      </c>
      <c r="B25" s="5" t="inlineStr">
        <is>
          <t>TX</t>
        </is>
      </c>
    </row>
    <row r="26">
      <c r="A26" s="5" t="inlineStr">
        <is>
          <t>Does the basis reset on sale?</t>
        </is>
      </c>
      <c r="B26" s="5" t="inlineStr">
        <is>
          <t>Yes</t>
        </is>
      </c>
      <c r="C26" s="6" t="inlineStr">
        <is>
          <t>TX reassesses toward the transaction price, so the generic pattern applies: assessed value is the purchase price times the statutory assessment ratio.</t>
        </is>
      </c>
    </row>
    <row r="27">
      <c r="A27" s="5" t="inlineStr">
        <is>
          <t>Illustrative purchase price (illustrative)</t>
        </is>
      </c>
      <c r="B27" s="7" t="n">
        <v>38700000</v>
      </c>
    </row>
    <row r="28">
      <c r="A28" s="5" t="inlineStr">
        <is>
          <t>Year-one full value</t>
        </is>
      </c>
      <c r="B28" s="7" t="n">
        <v>38700000</v>
      </c>
      <c r="C28" s="6" t="inlineStr">
        <is>
          <t>Purchase price (the transaction resets the basis)</t>
        </is>
      </c>
    </row>
    <row r="29">
      <c r="A29" s="5" t="inlineStr">
        <is>
          <t>Year-one assessed value</t>
        </is>
      </c>
      <c r="B29" s="7" t="n">
        <v>38700000</v>
      </c>
      <c r="C29" s="6" t="inlineStr">
        <is>
          <t>Assessed value = full value x assessment ratio</t>
        </is>
      </c>
    </row>
    <row r="30">
      <c r="A30" s="5" t="inlineStr">
        <is>
          <t>Year-one tax (illustrative)</t>
        </is>
      </c>
      <c r="B30" s="7" t="n">
        <v>831276.0000000001</v>
      </c>
      <c r="C30" s="6" t="inlineStr">
        <is>
          <t>The figure to carry into the model.</t>
        </is>
      </c>
    </row>
    <row r="31">
      <c r="A31" s="5" t="inlineStr">
        <is>
          <t>Year-one tax per unit (illustrative)</t>
        </is>
      </c>
      <c r="B31" s="7" t="n">
        <v>4618.200000000001</v>
      </c>
    </row>
    <row r="32"/>
    <row r="33">
      <c r="A33" s="4" t="inlineStr">
        <is>
          <t>What the generic shortcut would have said</t>
        </is>
      </c>
      <c r="B33" s="4" t="n"/>
      <c r="C33" s="4" t="n"/>
      <c r="D33" s="4" t="n"/>
    </row>
    <row r="34">
      <c r="A34" s="5" t="inlineStr">
        <is>
          <t>Assessed value if it reset to the price</t>
        </is>
      </c>
      <c r="B34" s="7" t="n">
        <v>38700000</v>
      </c>
      <c r="C34" s="6" t="inlineStr">
        <is>
          <t>Purchase price times the assessment ratio — the pattern that holds in most states.</t>
        </is>
      </c>
    </row>
    <row r="35">
      <c r="A35" s="5" t="inlineStr">
        <is>
          <t>Tax on that basis</t>
        </is>
      </c>
      <c r="B35" s="7" t="n">
        <v>831276.0000000001</v>
      </c>
    </row>
    <row r="36">
      <c r="A36" s="5" t="inlineStr">
        <is>
          <t>Overstatement versus the correct approach</t>
        </is>
      </c>
      <c r="B36" s="18" t="n">
        <v>1</v>
      </c>
      <c r="C36" s="6" t="inlineStr">
        <is>
          <t>Shown because the size of the error is the point. Carrying the generic pattern into an Arizona model does not shade the answer, it changes it: a tax line this far out fails a deal that works.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Synthetic ring demographics in the shape the real engine produces: ACS 5-year, a 2020 decennial baseline, LODES workplace counts and BLS metro series. All public sources;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actual, and a 2026 projection.</t>
        </is>
      </c>
    </row>
    <row r="9">
      <c r="A9" s="14" t="inlineStr"/>
      <c r="B9" s="14" t="inlineStr">
        <is>
          <t>1 mi</t>
        </is>
      </c>
      <c r="C9" s="14" t="inlineStr">
        <is>
          <t>3 mi</t>
        </is>
      </c>
      <c r="D9" s="14" t="inlineStr">
        <is>
          <t>5 mi</t>
        </is>
      </c>
      <c r="E9" s="14" t="inlineStr">
        <is>
          <t>10 mi</t>
        </is>
      </c>
      <c r="F9" s="14" t="inlineStr">
        <is>
          <t>Demo MSA</t>
        </is>
      </c>
      <c r="G9" s="14" t="inlineStr">
        <is>
          <t>Demo State</t>
        </is>
      </c>
      <c r="H9" s="14" t="inlineStr">
        <is>
          <t>U.S.</t>
        </is>
      </c>
    </row>
    <row r="10">
      <c r="A10" s="5" t="inlineStr">
        <is>
          <t>Households (2020 Census)</t>
        </is>
      </c>
      <c r="B10" s="7" t="n">
        <v>3780</v>
      </c>
      <c r="C10" s="7" t="n">
        <v>20520</v>
      </c>
      <c r="D10" s="7" t="n">
        <v>49680</v>
      </c>
      <c r="E10" s="7" t="n">
        <v>146700</v>
      </c>
      <c r="F10" s="7" t="n">
        <v>774000</v>
      </c>
      <c r="G10" s="7" t="n">
        <v>1170000</v>
      </c>
      <c r="H10" s="7" t="n">
        <v>54000000</v>
      </c>
    </row>
    <row r="11">
      <c r="A11" s="5" t="inlineStr">
        <is>
          <t>Households (2024 actual)</t>
        </is>
      </c>
      <c r="B11" s="7" t="n">
        <v>4011</v>
      </c>
      <c r="C11" s="7" t="n">
        <v>21774</v>
      </c>
      <c r="D11" s="7" t="n">
        <v>52716</v>
      </c>
      <c r="E11" s="7" t="n">
        <v>155665</v>
      </c>
      <c r="F11" s="7" t="n">
        <v>821300</v>
      </c>
      <c r="G11" s="7" t="n">
        <v>1241500</v>
      </c>
      <c r="H11" s="7" t="n">
        <v>57300000</v>
      </c>
    </row>
    <row r="12">
      <c r="A12" s="5" t="inlineStr">
        <is>
          <t>Growth 2020 to 2024</t>
        </is>
      </c>
      <c r="B12" s="11" t="n">
        <v>0.0611</v>
      </c>
      <c r="C12" s="11" t="n">
        <v>0.0611</v>
      </c>
      <c r="D12" s="11" t="n">
        <v>0.0611</v>
      </c>
      <c r="E12" s="11" t="n">
        <v>0.0611</v>
      </c>
      <c r="F12" s="11" t="n">
        <v>0.0611</v>
      </c>
      <c r="G12" s="11" t="n">
        <v>0.0611</v>
      </c>
      <c r="H12" s="11" t="n">
        <v>0.0611</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4194</v>
      </c>
      <c r="C14" s="7" t="n">
        <v>22765</v>
      </c>
      <c r="D14" s="7" t="n">
        <v>55115</v>
      </c>
      <c r="E14" s="7" t="n">
        <v>162749</v>
      </c>
      <c r="F14" s="7" t="n">
        <v>858674</v>
      </c>
      <c r="G14" s="7" t="n">
        <v>1297996</v>
      </c>
      <c r="H14" s="7" t="n">
        <v>59907508</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Demo MSA</t>
        </is>
      </c>
      <c r="G17" s="14" t="inlineStr">
        <is>
          <t>Demo State</t>
        </is>
      </c>
      <c r="H17" s="14" t="inlineStr">
        <is>
          <t>U.S.</t>
        </is>
      </c>
    </row>
    <row r="18">
      <c r="A18" s="5" t="inlineStr">
        <is>
          <t>Population (2020 Census)</t>
        </is>
      </c>
      <c r="B18" s="7" t="n">
        <v>9555</v>
      </c>
      <c r="C18" s="7" t="n">
        <v>51870</v>
      </c>
      <c r="D18" s="7" t="n">
        <v>125580</v>
      </c>
      <c r="E18" s="7" t="n">
        <v>370825</v>
      </c>
      <c r="F18" s="7" t="n">
        <v>1956500</v>
      </c>
      <c r="G18" s="7" t="n">
        <v>2957500</v>
      </c>
      <c r="H18" s="7" t="n">
        <v>136500000</v>
      </c>
    </row>
    <row r="19">
      <c r="A19" s="5" t="inlineStr">
        <is>
          <t>Population (2024 actual)</t>
        </is>
      </c>
      <c r="B19" s="7" t="n">
        <v>10017</v>
      </c>
      <c r="C19" s="7" t="n">
        <v>54378</v>
      </c>
      <c r="D19" s="7" t="n">
        <v>131652</v>
      </c>
      <c r="E19" s="7" t="n">
        <v>388755</v>
      </c>
      <c r="F19" s="7" t="n">
        <v>2051100</v>
      </c>
      <c r="G19" s="7" t="n">
        <v>3100500</v>
      </c>
      <c r="H19" s="7" t="n">
        <v>143100000</v>
      </c>
    </row>
    <row r="20">
      <c r="A20" s="5" t="inlineStr">
        <is>
          <t>Growth 2020 to 2024</t>
        </is>
      </c>
      <c r="B20" s="11" t="n">
        <v>0.0484</v>
      </c>
      <c r="C20" s="11" t="n">
        <v>0.0484</v>
      </c>
      <c r="D20" s="11" t="n">
        <v>0.0484</v>
      </c>
      <c r="E20" s="11" t="n">
        <v>0.0484</v>
      </c>
      <c r="F20" s="11" t="n">
        <v>0.0484</v>
      </c>
      <c r="G20" s="11" t="n">
        <v>0.0484</v>
      </c>
      <c r="H20" s="11" t="n">
        <v>0.0484</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10239</v>
      </c>
      <c r="C22" s="7" t="n">
        <v>55581</v>
      </c>
      <c r="D22" s="7" t="n">
        <v>134564</v>
      </c>
      <c r="E22" s="7" t="n">
        <v>397355</v>
      </c>
      <c r="F22" s="7" t="n">
        <v>2096472</v>
      </c>
      <c r="G22" s="7" t="n">
        <v>3169086</v>
      </c>
      <c r="H22" s="7" t="n">
        <v>146265515</v>
      </c>
    </row>
    <row r="24">
      <c r="A24" s="4" t="inlineStr">
        <is>
          <t>Households by income (2024 actual)</t>
        </is>
      </c>
      <c r="B24" s="4" t="n"/>
      <c r="C24" s="4" t="n"/>
      <c r="D24" s="4" t="n"/>
      <c r="E24" s="4" t="n"/>
      <c r="F24" s="4" t="n"/>
      <c r="G24" s="4" t="n"/>
      <c r="H24" s="4" t="n"/>
    </row>
    <row r="25">
      <c r="A25" s="6" t="inlineStr">
        <is>
          <t>Eight brackets, with the two affordability subtotals underneath.</t>
        </is>
      </c>
    </row>
    <row r="26">
      <c r="A26" s="14" t="inlineStr"/>
      <c r="B26" s="14" t="inlineStr">
        <is>
          <t>1 mi</t>
        </is>
      </c>
      <c r="C26" s="14" t="inlineStr">
        <is>
          <t>3 mi</t>
        </is>
      </c>
      <c r="D26" s="14" t="inlineStr">
        <is>
          <t>5 mi</t>
        </is>
      </c>
      <c r="E26" s="14" t="inlineStr">
        <is>
          <t>10 mi</t>
        </is>
      </c>
      <c r="F26" s="14" t="inlineStr">
        <is>
          <t>Demo MSA</t>
        </is>
      </c>
      <c r="G26" s="14" t="inlineStr">
        <is>
          <t>Demo State</t>
        </is>
      </c>
      <c r="H26" s="14" t="inlineStr">
        <is>
          <t>U.S.</t>
        </is>
      </c>
    </row>
    <row r="27">
      <c r="A27" s="5" t="inlineStr">
        <is>
          <t xml:space="preserve">    Less than $25,000</t>
        </is>
      </c>
      <c r="B27" s="7" t="n">
        <v>473</v>
      </c>
      <c r="C27" s="7" t="n">
        <v>2569</v>
      </c>
      <c r="D27" s="7" t="n">
        <v>6220</v>
      </c>
      <c r="E27" s="7" t="n">
        <v>18368</v>
      </c>
      <c r="F27" s="7" t="n">
        <v>96913</v>
      </c>
      <c r="G27" s="7" t="n">
        <v>146497</v>
      </c>
      <c r="H27" s="7" t="n">
        <v>6761400</v>
      </c>
    </row>
    <row r="28">
      <c r="A28" s="5" t="inlineStr">
        <is>
          <t xml:space="preserve">    $25,000 - $49,999</t>
        </is>
      </c>
      <c r="B28" s="7" t="n">
        <v>586</v>
      </c>
      <c r="C28" s="7" t="n">
        <v>3179</v>
      </c>
      <c r="D28" s="7" t="n">
        <v>7697</v>
      </c>
      <c r="E28" s="7" t="n">
        <v>22727</v>
      </c>
      <c r="F28" s="7" t="n">
        <v>119910</v>
      </c>
      <c r="G28" s="7" t="n">
        <v>181259</v>
      </c>
      <c r="H28" s="7" t="n">
        <v>8365800</v>
      </c>
    </row>
    <row r="29">
      <c r="A29" s="5" t="inlineStr">
        <is>
          <t xml:space="preserve">    $50,000 - $74,999</t>
        </is>
      </c>
      <c r="B29" s="7" t="n">
        <v>610</v>
      </c>
      <c r="C29" s="7" t="n">
        <v>3310</v>
      </c>
      <c r="D29" s="7" t="n">
        <v>8013</v>
      </c>
      <c r="E29" s="7" t="n">
        <v>23661</v>
      </c>
      <c r="F29" s="7" t="n">
        <v>124838</v>
      </c>
      <c r="G29" s="7" t="n">
        <v>188708</v>
      </c>
      <c r="H29" s="7" t="n">
        <v>8709600</v>
      </c>
    </row>
    <row r="30">
      <c r="A30" s="5" t="inlineStr">
        <is>
          <t xml:space="preserve">    $75,000 - $99,999</t>
        </is>
      </c>
      <c r="B30" s="7" t="n">
        <v>558</v>
      </c>
      <c r="C30" s="7" t="n">
        <v>3027</v>
      </c>
      <c r="D30" s="7" t="n">
        <v>7328</v>
      </c>
      <c r="E30" s="7" t="n">
        <v>21637</v>
      </c>
      <c r="F30" s="7" t="n">
        <v>114161</v>
      </c>
      <c r="G30" s="7" t="n">
        <v>172569</v>
      </c>
      <c r="H30" s="7" t="n">
        <v>7964700</v>
      </c>
    </row>
    <row r="31">
      <c r="A31" s="5" t="inlineStr">
        <is>
          <t xml:space="preserve">    $100,000 - $124,999</t>
        </is>
      </c>
      <c r="B31" s="7" t="n">
        <v>485</v>
      </c>
      <c r="C31" s="7" t="n">
        <v>2635</v>
      </c>
      <c r="D31" s="7" t="n">
        <v>6379</v>
      </c>
      <c r="E31" s="7" t="n">
        <v>18835</v>
      </c>
      <c r="F31" s="7" t="n">
        <v>99377</v>
      </c>
      <c r="G31" s="7" t="n">
        <v>150222</v>
      </c>
      <c r="H31" s="7" t="n">
        <v>6933300</v>
      </c>
    </row>
    <row r="32">
      <c r="A32" s="5" t="inlineStr">
        <is>
          <t xml:space="preserve">    $125,000 - $149,999</t>
        </is>
      </c>
      <c r="B32" s="7" t="n">
        <v>369</v>
      </c>
      <c r="C32" s="7" t="n">
        <v>2003</v>
      </c>
      <c r="D32" s="7" t="n">
        <v>4850</v>
      </c>
      <c r="E32" s="7" t="n">
        <v>14321</v>
      </c>
      <c r="F32" s="7" t="n">
        <v>75560</v>
      </c>
      <c r="G32" s="7" t="n">
        <v>114218</v>
      </c>
      <c r="H32" s="7" t="n">
        <v>5271600</v>
      </c>
    </row>
    <row r="33">
      <c r="A33" s="5" t="inlineStr">
        <is>
          <t xml:space="preserve">    $150,000 - $199,999</t>
        </is>
      </c>
      <c r="B33" s="7" t="n">
        <v>457</v>
      </c>
      <c r="C33" s="7" t="n">
        <v>2482</v>
      </c>
      <c r="D33" s="7" t="n">
        <v>6010</v>
      </c>
      <c r="E33" s="7" t="n">
        <v>17746</v>
      </c>
      <c r="F33" s="7" t="n">
        <v>93628</v>
      </c>
      <c r="G33" s="7" t="n">
        <v>141531</v>
      </c>
      <c r="H33" s="7" t="n">
        <v>6532200</v>
      </c>
    </row>
    <row r="34">
      <c r="A34" s="5" t="inlineStr">
        <is>
          <t xml:space="preserve">    $200,000 and over</t>
        </is>
      </c>
      <c r="B34" s="7" t="n">
        <v>473</v>
      </c>
      <c r="C34" s="7" t="n">
        <v>2569</v>
      </c>
      <c r="D34" s="7" t="n">
        <v>6220</v>
      </c>
      <c r="E34" s="7" t="n">
        <v>18368</v>
      </c>
      <c r="F34" s="7" t="n">
        <v>96913</v>
      </c>
      <c r="G34" s="7" t="n">
        <v>146497</v>
      </c>
      <c r="H34" s="7" t="n">
        <v>6761400</v>
      </c>
    </row>
    <row r="35">
      <c r="A35" s="5" t="inlineStr">
        <is>
          <t>Subtotal $50,000 and over</t>
        </is>
      </c>
      <c r="B35" s="7" t="n">
        <v>2952</v>
      </c>
      <c r="C35" s="7" t="n">
        <v>16026</v>
      </c>
      <c r="D35" s="7" t="n">
        <v>38799</v>
      </c>
      <c r="E35" s="7" t="n">
        <v>114569</v>
      </c>
      <c r="F35" s="7" t="n">
        <v>604477</v>
      </c>
      <c r="G35" s="7" t="n">
        <v>913744</v>
      </c>
      <c r="H35" s="7" t="n">
        <v>42172800</v>
      </c>
    </row>
    <row r="36">
      <c r="A36" s="5" t="inlineStr">
        <is>
          <t xml:space="preserve">   share of households</t>
        </is>
      </c>
      <c r="B36" s="11" t="n">
        <v>0.736</v>
      </c>
      <c r="C36" s="11" t="n">
        <v>0.736</v>
      </c>
      <c r="D36" s="11" t="n">
        <v>0.736</v>
      </c>
      <c r="E36" s="11" t="n">
        <v>0.736</v>
      </c>
      <c r="F36" s="11" t="n">
        <v>0.736</v>
      </c>
      <c r="G36" s="11" t="n">
        <v>0.736</v>
      </c>
      <c r="H36" s="11" t="n">
        <v>0.736</v>
      </c>
    </row>
    <row r="37">
      <c r="A37" s="5" t="inlineStr">
        <is>
          <t>Subtotal $100,000 and over</t>
        </is>
      </c>
      <c r="B37" s="7" t="n">
        <v>1785</v>
      </c>
      <c r="C37" s="7" t="n">
        <v>9689</v>
      </c>
      <c r="D37" s="7" t="n">
        <v>23459</v>
      </c>
      <c r="E37" s="7" t="n">
        <v>69271</v>
      </c>
      <c r="F37" s="7" t="n">
        <v>365478</v>
      </c>
      <c r="G37" s="7" t="n">
        <v>552468</v>
      </c>
      <c r="H37" s="7" t="n">
        <v>25498500</v>
      </c>
    </row>
    <row r="38">
      <c r="A38" s="5" t="inlineStr">
        <is>
          <t xml:space="preserve">   share of households</t>
        </is>
      </c>
      <c r="B38" s="11" t="n">
        <v>0.445</v>
      </c>
      <c r="C38" s="11" t="n">
        <v>0.445</v>
      </c>
      <c r="D38" s="11" t="n">
        <v>0.445</v>
      </c>
      <c r="E38" s="11" t="n">
        <v>0.445</v>
      </c>
      <c r="F38" s="11" t="n">
        <v>0.445</v>
      </c>
      <c r="G38" s="11" t="n">
        <v>0.445</v>
      </c>
      <c r="H38" s="11" t="n">
        <v>0.445</v>
      </c>
    </row>
    <row r="40">
      <c r="A40" s="4" t="inlineStr">
        <is>
          <t>Income and affordability</t>
        </is>
      </c>
      <c r="B40" s="4" t="n"/>
      <c r="C40" s="4" t="n"/>
      <c r="D40" s="4" t="n"/>
      <c r="E40" s="4" t="n"/>
      <c r="F40" s="4" t="n"/>
      <c r="G40" s="4" t="n"/>
      <c r="H40" s="4" t="n"/>
    </row>
    <row r="41">
      <c r="A41" s="6" t="inlineStr">
        <is>
          <t>Median interpolated from the brackets above, so the two cannot disagree.</t>
        </is>
      </c>
    </row>
    <row r="42">
      <c r="A42" s="14" t="inlineStr"/>
      <c r="B42" s="14" t="inlineStr">
        <is>
          <t>1 mi</t>
        </is>
      </c>
      <c r="C42" s="14" t="inlineStr">
        <is>
          <t>3 mi</t>
        </is>
      </c>
      <c r="D42" s="14" t="inlineStr">
        <is>
          <t>5 mi</t>
        </is>
      </c>
      <c r="E42" s="14" t="inlineStr">
        <is>
          <t>10 mi</t>
        </is>
      </c>
      <c r="F42" s="14" t="inlineStr">
        <is>
          <t>Demo MSA</t>
        </is>
      </c>
      <c r="G42" s="14" t="inlineStr">
        <is>
          <t>Demo State</t>
        </is>
      </c>
      <c r="H42" s="14" t="inlineStr">
        <is>
          <t>U.S.</t>
        </is>
      </c>
    </row>
    <row r="43">
      <c r="A43" s="5" t="inlineStr">
        <is>
          <t>Average household income (2024)</t>
        </is>
      </c>
      <c r="B43" s="7" t="n">
        <v>81200</v>
      </c>
      <c r="C43" s="7" t="n">
        <v>103400</v>
      </c>
      <c r="D43" s="7" t="n">
        <v>107900</v>
      </c>
      <c r="E43" s="7" t="n">
        <v>112600</v>
      </c>
      <c r="F43" s="7" t="n">
        <v>118800</v>
      </c>
      <c r="G43" s="7" t="n">
        <v>108100</v>
      </c>
      <c r="H43" s="7" t="n">
        <v>113900</v>
      </c>
    </row>
    <row r="44">
      <c r="A44" s="5" t="inlineStr">
        <is>
          <t>Median household income (2024)</t>
        </is>
      </c>
      <c r="B44" s="7" t="n">
        <v>66500</v>
      </c>
      <c r="C44" s="7" t="n">
        <v>81900</v>
      </c>
      <c r="D44" s="7" t="n">
        <v>83100</v>
      </c>
      <c r="E44" s="7" t="n">
        <v>83400</v>
      </c>
      <c r="F44" s="7" t="n">
        <v>88900</v>
      </c>
      <c r="G44" s="7" t="n">
        <v>80600</v>
      </c>
      <c r="H44" s="7" t="n">
        <v>81400</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91581</v>
      </c>
      <c r="C46" s="7" t="n">
        <v>116619</v>
      </c>
      <c r="D46" s="7" t="n">
        <v>121694</v>
      </c>
      <c r="E46" s="7" t="n">
        <v>126995</v>
      </c>
      <c r="F46" s="7" t="n">
        <v>133988</v>
      </c>
      <c r="G46" s="7" t="n">
        <v>121920</v>
      </c>
      <c r="H46" s="7" t="n">
        <v>128461</v>
      </c>
    </row>
    <row r="47">
      <c r="A47" s="5" t="inlineStr">
        <is>
          <t>Renter share</t>
        </is>
      </c>
      <c r="B47" s="11" t="n">
        <v>0.654</v>
      </c>
      <c r="C47" s="11" t="n">
        <v>0.512</v>
      </c>
      <c r="D47" s="11" t="n">
        <v>0.518</v>
      </c>
      <c r="E47" s="11" t="n">
        <v>0.481</v>
      </c>
      <c r="F47" s="11" t="n">
        <v>0.334</v>
      </c>
      <c r="G47" s="11" t="n">
        <v>0.331</v>
      </c>
      <c r="H47" s="11" t="n">
        <v>0.352</v>
      </c>
    </row>
    <row r="48">
      <c r="A48" s="5" t="inlineStr">
        <is>
          <t>Rent-to-income at $1,795/mo</t>
        </is>
      </c>
      <c r="B48" s="11" t="n">
        <v>0.265</v>
      </c>
      <c r="C48" s="11" t="n">
        <v>0.208</v>
      </c>
      <c r="D48" s="11" t="n">
        <v>0.2</v>
      </c>
      <c r="E48" s="11" t="n">
        <v>0.191</v>
      </c>
      <c r="F48" s="11" t="n">
        <v>0.181</v>
      </c>
      <c r="G48" s="11" t="n">
        <v>0.199</v>
      </c>
      <c r="H48" s="11" t="n">
        <v>0.189</v>
      </c>
      <c r="I48" s="2" t="inlineStr">
        <is>
          <t>Against projected 2026 income, so it is a forward ratio.</t>
        </is>
      </c>
    </row>
    <row r="50">
      <c r="A50" s="4" t="inlineStr">
        <is>
          <t>Home value — ZIP 00000 vs Demo MSA</t>
        </is>
      </c>
      <c r="B50" s="4" t="n"/>
      <c r="C50" s="4" t="n"/>
      <c r="D50" s="4" t="n"/>
      <c r="E50" s="4" t="n"/>
      <c r="F50" s="4" t="n"/>
      <c r="G50" s="4" t="n"/>
      <c r="H50" s="4" t="n"/>
    </row>
    <row r="51">
      <c r="A51" s="6" t="inlineStr">
        <is>
          <t>ZIP geography, not a drive ring — the only section that does not share the columns above, so it is shown as its own three figures rather than stretched across headers it does not describe.</t>
        </is>
      </c>
    </row>
    <row r="52">
      <c r="A52" s="14" t="inlineStr"/>
      <c r="B52" s="14" t="inlineStr">
        <is>
          <t>Value</t>
        </is>
      </c>
    </row>
    <row r="53">
      <c r="A53" s="5" t="inlineStr">
        <is>
          <t>ZIP home value</t>
        </is>
      </c>
      <c r="B53" s="7" t="n">
        <v>451600</v>
      </c>
    </row>
    <row r="54">
      <c r="A54" s="5" t="inlineStr">
        <is>
          <t>Metro home value</t>
        </is>
      </c>
      <c r="B54" s="7" t="n">
        <v>446200</v>
      </c>
    </row>
    <row r="55">
      <c r="A55" s="5" t="inlineStr">
        <is>
          <t>ZIP vs metro</t>
        </is>
      </c>
      <c r="B55" s="11" t="n">
        <v>0.0121</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is the opposite: residents.</t>
        </is>
      </c>
    </row>
    <row r="59">
      <c r="A59" s="14" t="inlineStr"/>
      <c r="B59" s="14" t="inlineStr">
        <is>
          <t>1 mi</t>
        </is>
      </c>
      <c r="C59" s="14" t="inlineStr">
        <is>
          <t>3 mi</t>
        </is>
      </c>
      <c r="D59" s="14" t="inlineStr">
        <is>
          <t>5 mi</t>
        </is>
      </c>
      <c r="E59" s="14" t="inlineStr">
        <is>
          <t>10 mi</t>
        </is>
      </c>
      <c r="F59" s="14" t="inlineStr">
        <is>
          <t>Demo MSA</t>
        </is>
      </c>
      <c r="G59" s="14" t="inlineStr">
        <is>
          <t>Demo State</t>
        </is>
      </c>
      <c r="H59" s="14" t="inlineStr">
        <is>
          <t>U.S.</t>
        </is>
      </c>
    </row>
    <row r="60">
      <c r="A60" s="5" t="inlineStr">
        <is>
          <t>Unemployment rate (residents, ACS)</t>
        </is>
      </c>
      <c r="B60" s="11" t="n">
        <v>0.066</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2021</t>
        </is>
      </c>
      <c r="B62" s="7" t="n">
        <v>10370</v>
      </c>
      <c r="C62" s="7" t="n">
        <v>122100</v>
      </c>
      <c r="D62" s="7" t="n">
        <v>352300</v>
      </c>
      <c r="E62" s="7" t="n">
        <v>903200</v>
      </c>
      <c r="F62" s="12" t="n"/>
      <c r="G62" s="12" t="n"/>
      <c r="H62" s="12" t="n"/>
    </row>
    <row r="63">
      <c r="A63" s="5" t="inlineStr">
        <is>
          <t xml:space="preserve">    2022</t>
        </is>
      </c>
      <c r="B63" s="7" t="n">
        <v>11300</v>
      </c>
      <c r="C63" s="7" t="n">
        <v>127600</v>
      </c>
      <c r="D63" s="7" t="n">
        <v>361400</v>
      </c>
      <c r="E63" s="7" t="n">
        <v>921800</v>
      </c>
      <c r="F63" s="12" t="n"/>
      <c r="G63" s="12" t="n"/>
      <c r="H63" s="12" t="n"/>
    </row>
    <row r="64">
      <c r="A64" s="5" t="inlineStr">
        <is>
          <t xml:space="preserve">    2023  (latest)</t>
        </is>
      </c>
      <c r="B64" s="7" t="n">
        <v>11644</v>
      </c>
      <c r="C64" s="7" t="n">
        <v>140800</v>
      </c>
      <c r="D64" s="7" t="n">
        <v>382500</v>
      </c>
      <c r="E64" s="7" t="n">
        <v>990700</v>
      </c>
      <c r="F64" s="12" t="n"/>
      <c r="G64" s="12" t="n"/>
      <c r="H64" s="12" t="n"/>
    </row>
    <row r="65">
      <c r="A65" s="5" t="inlineStr">
        <is>
          <t xml:space="preserve">    Job growth 2021 to 2023</t>
        </is>
      </c>
      <c r="B65" s="11" t="n">
        <v>0.1229</v>
      </c>
      <c r="C65" s="11" t="n">
        <v>0.1531</v>
      </c>
      <c r="D65" s="11" t="n">
        <v>0.0858</v>
      </c>
      <c r="E65" s="11" t="n">
        <v>0.0968</v>
      </c>
      <c r="F65" s="12" t="n"/>
      <c r="G65" s="12" t="n"/>
      <c r="H65" s="12" t="n"/>
    </row>
    <row r="67">
      <c r="A67" s="13" t="inlineStr">
        <is>
          <t>Metro nonfarm employment and unemployment — Demo County, Demo State</t>
        </is>
      </c>
    </row>
    <row r="68">
      <c r="A68" s="14" t="inlineStr">
        <is>
          <t>Year</t>
        </is>
      </c>
      <c r="B68" s="14" t="inlineStr">
        <is>
          <t>Nonfarm jobs (000s)</t>
        </is>
      </c>
      <c r="C68" s="14" t="inlineStr">
        <is>
          <t>Job growth</t>
        </is>
      </c>
      <c r="D68" s="14" t="inlineStr">
        <is>
          <t>Unemployment</t>
        </is>
      </c>
    </row>
    <row r="69">
      <c r="A69" s="12" t="n">
        <v>2025</v>
      </c>
      <c r="B69" s="10" t="n">
        <v>2462.5</v>
      </c>
      <c r="C69" s="11" t="n">
        <v>0.0026</v>
      </c>
      <c r="D69" s="11" t="n">
        <v>0.0423</v>
      </c>
    </row>
    <row r="70">
      <c r="A70" s="12" t="n">
        <v>2024</v>
      </c>
      <c r="B70" s="10" t="n">
        <v>2456</v>
      </c>
      <c r="C70" s="11" t="n">
        <v>0.0224</v>
      </c>
      <c r="D70" s="11" t="n">
        <v>0.0367</v>
      </c>
    </row>
    <row r="71">
      <c r="A71" s="12" t="n">
        <v>2023</v>
      </c>
      <c r="B71" s="10" t="n">
        <v>2402.2</v>
      </c>
      <c r="C71" s="11" t="n">
        <v>0.0311</v>
      </c>
      <c r="D71" s="11" t="n">
        <v>0.0338</v>
      </c>
    </row>
    <row r="72">
      <c r="A72" s="12" t="n">
        <v>2022</v>
      </c>
      <c r="B72" s="10" t="n">
        <v>2329.7</v>
      </c>
      <c r="C72" s="11" t="n">
        <v>0.0512</v>
      </c>
      <c r="D72" s="11" t="n">
        <v>0.0311</v>
      </c>
    </row>
    <row r="74">
      <c r="A74" s="4" t="inlineStr">
        <is>
          <t>Jobs by industry (2023)</t>
        </is>
      </c>
      <c r="B74" s="4" t="n"/>
      <c r="C74" s="4" t="n"/>
      <c r="D74" s="4" t="n"/>
      <c r="E74" s="4" t="n"/>
      <c r="F74" s="4" t="n"/>
      <c r="G74" s="4" t="n"/>
      <c r="H74" s="4" t="n"/>
    </row>
    <row r="75">
      <c r="A75" s="6" t="inlineStr">
        <is>
          <t>Share of jobs by sector, sorted by the metro's own concentration. Ring, MSA and state shares come from LODES workplace counts; the U.S. column is QCEW, a different survey, so read it as a benchmark rather than the same measurement.</t>
        </is>
      </c>
    </row>
    <row r="76">
      <c r="A76" s="14" t="inlineStr"/>
      <c r="B76" s="14" t="inlineStr">
        <is>
          <t>1 mi</t>
        </is>
      </c>
      <c r="C76" s="14" t="inlineStr">
        <is>
          <t>3 mi</t>
        </is>
      </c>
      <c r="D76" s="14" t="inlineStr">
        <is>
          <t>5 mi</t>
        </is>
      </c>
      <c r="E76" s="14" t="inlineStr">
        <is>
          <t>10 mi</t>
        </is>
      </c>
      <c r="F76" s="14" t="inlineStr">
        <is>
          <t>Demo MSA</t>
        </is>
      </c>
      <c r="G76" s="14" t="inlineStr">
        <is>
          <t>Demo State</t>
        </is>
      </c>
      <c r="H76" s="14" t="inlineStr">
        <is>
          <t>U.S.</t>
        </is>
      </c>
    </row>
    <row r="77">
      <c r="A77" s="5" t="inlineStr">
        <is>
          <t>Health Care/Social Asst</t>
        </is>
      </c>
      <c r="B77" s="11" t="n">
        <v>0.079</v>
      </c>
      <c r="C77" s="11" t="n">
        <v>0.089</v>
      </c>
      <c r="D77" s="11" t="n">
        <v>0.104</v>
      </c>
      <c r="E77" s="11" t="n">
        <v>0.127</v>
      </c>
      <c r="F77" s="11" t="n">
        <v>0.144</v>
      </c>
      <c r="G77" s="11" t="n">
        <v>0.148</v>
      </c>
      <c r="H77" s="11" t="n">
        <v>0.152</v>
      </c>
      <c r="I77" s="2" t="inlineStr">
        <is>
          <t>Location quotient vs U.S.: 0.95x — less concentrated here.</t>
        </is>
      </c>
    </row>
    <row r="78">
      <c r="A78" s="5" t="inlineStr">
        <is>
          <t>Retail Trade</t>
        </is>
      </c>
      <c r="B78" s="11" t="n">
        <v>0.091</v>
      </c>
      <c r="C78" s="11" t="n">
        <v>0.091</v>
      </c>
      <c r="D78" s="11" t="n">
        <v>0.08599999999999999</v>
      </c>
      <c r="E78" s="11" t="n">
        <v>0.083</v>
      </c>
      <c r="F78" s="11" t="n">
        <v>0.109</v>
      </c>
      <c r="G78" s="11" t="n">
        <v>0.11</v>
      </c>
      <c r="H78" s="11" t="n">
        <v>0.102</v>
      </c>
      <c r="I78" s="2" t="inlineStr">
        <is>
          <t>Location quotient vs U.S.: 1.07x — more concentrated here.</t>
        </is>
      </c>
    </row>
    <row r="79">
      <c r="A79" s="5" t="inlineStr">
        <is>
          <t>Accommodation/Food Svcs</t>
        </is>
      </c>
      <c r="B79" s="11" t="n">
        <v>0.049</v>
      </c>
      <c r="C79" s="11" t="n">
        <v>0.068</v>
      </c>
      <c r="D79" s="11" t="n">
        <v>0.058</v>
      </c>
      <c r="E79" s="11" t="n">
        <v>0.076</v>
      </c>
      <c r="F79" s="11" t="n">
        <v>0.092</v>
      </c>
      <c r="G79" s="11" t="n">
        <v>0.098</v>
      </c>
      <c r="H79" s="11" t="n">
        <v>0.092</v>
      </c>
      <c r="I79" s="2" t="inlineStr">
        <is>
          <t>Location quotient vs U.S.: 1.00x — less concentrated here.</t>
        </is>
      </c>
    </row>
    <row r="80">
      <c r="A80" s="5" t="inlineStr">
        <is>
          <t>Professional/Scientific/Tech</t>
        </is>
      </c>
      <c r="B80" s="11" t="n">
        <v>0.061</v>
      </c>
      <c r="C80" s="11" t="n">
        <v>0.074</v>
      </c>
      <c r="D80" s="11" t="n">
        <v>0.081</v>
      </c>
      <c r="E80" s="11" t="n">
        <v>0.07199999999999999</v>
      </c>
      <c r="F80" s="11" t="n">
        <v>0.077</v>
      </c>
      <c r="G80" s="11" t="n">
        <v>0.07000000000000001</v>
      </c>
      <c r="H80" s="11" t="n">
        <v>0.08599999999999999</v>
      </c>
      <c r="I80" s="2" t="inlineStr">
        <is>
          <t>Location quotient vs U.S.: 0.90x — less concentrated here.</t>
        </is>
      </c>
    </row>
    <row r="81">
      <c r="A81" s="5" t="inlineStr">
        <is>
          <t>Educational Services</t>
        </is>
      </c>
      <c r="B81" s="11" t="n">
        <v>0.207</v>
      </c>
      <c r="C81" s="11" t="n">
        <v>0.118</v>
      </c>
      <c r="D81" s="11" t="n">
        <v>0.092</v>
      </c>
      <c r="E81" s="11" t="n">
        <v>0.07000000000000001</v>
      </c>
      <c r="F81" s="11" t="n">
        <v>0.075</v>
      </c>
      <c r="G81" s="11" t="n">
        <v>0.081</v>
      </c>
      <c r="H81" s="11" t="n">
        <v>0.092</v>
      </c>
      <c r="I81" s="2" t="inlineStr">
        <is>
          <t>Location quotient vs U.S.: 0.82x — less concentrated here.</t>
        </is>
      </c>
    </row>
    <row r="82">
      <c r="A82" s="5" t="inlineStr">
        <is>
          <t>Admin/Support/Waste</t>
        </is>
      </c>
      <c r="B82" s="11" t="n">
        <v>0.038</v>
      </c>
      <c r="C82" s="11" t="n">
        <v>0.052</v>
      </c>
      <c r="D82" s="11" t="n">
        <v>0.061</v>
      </c>
      <c r="E82" s="11" t="n">
        <v>0.058</v>
      </c>
      <c r="F82" s="11" t="n">
        <v>0.07000000000000001</v>
      </c>
      <c r="G82" s="11" t="n">
        <v>0.066</v>
      </c>
      <c r="H82" s="11" t="n">
        <v>0.058</v>
      </c>
      <c r="I82" s="2" t="inlineStr">
        <is>
          <t>Location quotient vs U.S.: 1.21x — more concentrated here.</t>
        </is>
      </c>
    </row>
    <row r="83">
      <c r="A83" s="5" t="inlineStr">
        <is>
          <t>Finance/Insurance</t>
        </is>
      </c>
      <c r="B83" s="11" t="n">
        <v>0.021</v>
      </c>
      <c r="C83" s="11" t="n">
        <v>0.038</v>
      </c>
      <c r="D83" s="11" t="n">
        <v>0.049</v>
      </c>
      <c r="E83" s="11" t="n">
        <v>0.043</v>
      </c>
      <c r="F83" s="11" t="n">
        <v>0.061</v>
      </c>
      <c r="G83" s="11" t="n">
        <v>0.055</v>
      </c>
      <c r="H83" s="11" t="n">
        <v>0.045</v>
      </c>
      <c r="I83" s="2" t="inlineStr">
        <is>
          <t>Location quotient vs U.S.: 1.36x — more concentrated here.</t>
        </is>
      </c>
    </row>
    <row r="84">
      <c r="A84" s="5" t="inlineStr">
        <is>
          <t>Construction</t>
        </is>
      </c>
      <c r="B84" s="11" t="n">
        <v>0.031</v>
      </c>
      <c r="C84" s="11" t="n">
        <v>0.041</v>
      </c>
      <c r="D84" s="11" t="n">
        <v>0.047</v>
      </c>
      <c r="E84" s="11" t="n">
        <v>0.052</v>
      </c>
      <c r="F84" s="11" t="n">
        <v>0.058</v>
      </c>
      <c r="G84" s="11" t="n">
        <v>0.06</v>
      </c>
      <c r="H84" s="11" t="n">
        <v>0.052</v>
      </c>
      <c r="I84" s="2" t="inlineStr">
        <is>
          <t>Location quotient vs U.S.: 1.12x — more concentrated here.</t>
        </is>
      </c>
    </row>
    <row r="85">
      <c r="A85" s="5" t="inlineStr">
        <is>
          <t>Manufacturing</t>
        </is>
      </c>
      <c r="B85" s="11" t="n">
        <v>0.018</v>
      </c>
      <c r="C85" s="11" t="n">
        <v>0.029</v>
      </c>
      <c r="D85" s="11" t="n">
        <v>0.038</v>
      </c>
      <c r="E85" s="11" t="n">
        <v>0.049</v>
      </c>
      <c r="F85" s="11" t="n">
        <v>0.052</v>
      </c>
      <c r="G85" s="11" t="n">
        <v>0.055</v>
      </c>
      <c r="H85" s="11" t="n">
        <v>0.08599999999999999</v>
      </c>
      <c r="I85" s="2" t="inlineStr">
        <is>
          <t>Location quotient vs U.S.: 0.60x — less concentrated here.</t>
        </is>
      </c>
    </row>
    <row r="86">
      <c r="A86" s="5" t="inlineStr">
        <is>
          <t>Transportation/Warehousing</t>
        </is>
      </c>
      <c r="B86" s="11" t="n">
        <v>0.014</v>
      </c>
      <c r="C86" s="11" t="n">
        <v>0.024</v>
      </c>
      <c r="D86" s="11" t="n">
        <v>0.031</v>
      </c>
      <c r="E86" s="11" t="n">
        <v>0.041</v>
      </c>
      <c r="F86" s="11" t="n">
        <v>0.046</v>
      </c>
      <c r="G86" s="11" t="n">
        <v>0.044</v>
      </c>
      <c r="H86" s="11" t="n">
        <v>0.042</v>
      </c>
      <c r="I86" s="2" t="inlineStr">
        <is>
          <t>Location quotient vs U.S.: 1.10x — more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1</v>
      </c>
      <c r="D8" s="7" t="n">
        <v>220</v>
      </c>
    </row>
    <row r="9">
      <c r="A9" s="5" t="inlineStr">
        <is>
          <t>1 mi</t>
        </is>
      </c>
      <c r="B9" s="5" t="inlineStr">
        <is>
          <t>Permitted</t>
        </is>
      </c>
      <c r="C9" s="7" t="n">
        <v>1</v>
      </c>
      <c r="D9" s="7" t="n">
        <v>148</v>
      </c>
    </row>
    <row r="10">
      <c r="A10" s="5" t="inlineStr">
        <is>
          <t>1 mi</t>
        </is>
      </c>
      <c r="B10" s="5" t="inlineStr">
        <is>
          <t>Under construction</t>
        </is>
      </c>
      <c r="C10" s="7" t="n">
        <v>0</v>
      </c>
      <c r="D10" s="7" t="n">
        <v>0</v>
      </c>
    </row>
    <row r="11">
      <c r="A11" s="5" t="inlineStr">
        <is>
          <t>1 mi</t>
        </is>
      </c>
      <c r="B11" s="5" t="inlineStr">
        <is>
          <t>Delivered (24 mo)</t>
        </is>
      </c>
      <c r="C11" s="7" t="n">
        <v>1</v>
      </c>
      <c r="D11" s="7" t="n">
        <v>96</v>
      </c>
    </row>
    <row r="12">
      <c r="A12" s="5" t="inlineStr">
        <is>
          <t>3 mi</t>
        </is>
      </c>
      <c r="B12" s="5" t="inlineStr">
        <is>
          <t>Entitlement</t>
        </is>
      </c>
      <c r="C12" s="7" t="n">
        <v>3</v>
      </c>
      <c r="D12" s="7" t="n">
        <v>742</v>
      </c>
    </row>
    <row r="13">
      <c r="A13" s="5" t="inlineStr">
        <is>
          <t>3 mi</t>
        </is>
      </c>
      <c r="B13" s="5" t="inlineStr">
        <is>
          <t>Permitted</t>
        </is>
      </c>
      <c r="C13" s="7" t="n">
        <v>2</v>
      </c>
      <c r="D13" s="7" t="n">
        <v>410</v>
      </c>
    </row>
    <row r="14">
      <c r="A14" s="5" t="inlineStr">
        <is>
          <t>3 mi</t>
        </is>
      </c>
      <c r="B14" s="5" t="inlineStr">
        <is>
          <t>Under construction</t>
        </is>
      </c>
      <c r="C14" s="7" t="n">
        <v>2</v>
      </c>
      <c r="D14" s="7" t="n">
        <v>508</v>
      </c>
    </row>
    <row r="15">
      <c r="A15" s="5" t="inlineStr">
        <is>
          <t>3 mi</t>
        </is>
      </c>
      <c r="B15" s="5" t="inlineStr">
        <is>
          <t>Delivered (24 mo)</t>
        </is>
      </c>
      <c r="C15" s="7" t="n">
        <v>3</v>
      </c>
      <c r="D15" s="7" t="n">
        <v>624</v>
      </c>
    </row>
    <row r="16">
      <c r="A16" s="5" t="inlineStr">
        <is>
          <t>5 mi</t>
        </is>
      </c>
      <c r="B16" s="5" t="inlineStr">
        <is>
          <t>Entitlement</t>
        </is>
      </c>
      <c r="C16" s="7" t="n">
        <v>6</v>
      </c>
      <c r="D16" s="7" t="n">
        <v>1485</v>
      </c>
    </row>
    <row r="17">
      <c r="A17" s="5" t="inlineStr">
        <is>
          <t>5 mi</t>
        </is>
      </c>
      <c r="B17" s="5" t="inlineStr">
        <is>
          <t>Permitted</t>
        </is>
      </c>
      <c r="C17" s="7" t="n">
        <v>4</v>
      </c>
      <c r="D17" s="7" t="n">
        <v>903</v>
      </c>
    </row>
    <row r="18">
      <c r="A18" s="5" t="inlineStr">
        <is>
          <t>5 mi</t>
        </is>
      </c>
      <c r="B18" s="5" t="inlineStr">
        <is>
          <t>Under construction</t>
        </is>
      </c>
      <c r="C18" s="7" t="n">
        <v>5</v>
      </c>
      <c r="D18" s="7" t="n">
        <v>1240</v>
      </c>
    </row>
    <row r="19">
      <c r="A19" s="5" t="inlineStr">
        <is>
          <t>5 mi</t>
        </is>
      </c>
      <c r="B19" s="5" t="inlineStr">
        <is>
          <t>Delivered (24 mo)</t>
        </is>
      </c>
      <c r="C19" s="7" t="n">
        <v>7</v>
      </c>
      <c r="D19" s="7" t="n">
        <v>1608</v>
      </c>
    </row>
    <row r="20"/>
    <row r="21">
      <c r="A21" s="4" t="inlineStr">
        <is>
          <t>Ring totals</t>
        </is>
      </c>
      <c r="B21" s="4" t="n"/>
      <c r="C21" s="4" t="n"/>
      <c r="D21" s="4" t="n"/>
    </row>
    <row r="22">
      <c r="A22" s="14" t="inlineStr">
        <is>
          <t>Ring</t>
        </is>
      </c>
      <c r="B22" s="14" t="inlineStr">
        <is>
          <t>Pipeline units</t>
        </is>
      </c>
      <c r="C22" s="14" t="inlineStr">
        <is>
          <t>Existing stock</t>
        </is>
      </c>
      <c r="D22" s="14" t="inlineStr">
        <is>
          <t>Units as % of stock</t>
        </is>
      </c>
    </row>
    <row r="23">
      <c r="A23" s="5" t="inlineStr">
        <is>
          <t>1 mi</t>
        </is>
      </c>
      <c r="B23" s="7">
        <f>SUMIF($A$8:$A$19,$A23,$D$8:$D$19)</f>
        <v/>
      </c>
      <c r="C23" s="7" t="n">
        <v>3140</v>
      </c>
      <c r="D23" s="11">
        <f>IFERROR(B23/C23,"")</f>
        <v/>
      </c>
    </row>
    <row r="24">
      <c r="A24" s="5" t="inlineStr">
        <is>
          <t>3 mi</t>
        </is>
      </c>
      <c r="B24" s="7">
        <f>SUMIF($A$8:$A$19,$A24,$D$8:$D$19)</f>
        <v/>
      </c>
      <c r="C24" s="7" t="n">
        <v>18600</v>
      </c>
      <c r="D24" s="11">
        <f>IFERROR(B24/C24,"")</f>
        <v/>
      </c>
    </row>
    <row r="25">
      <c r="A25" s="5" t="inlineStr">
        <is>
          <t>5 mi</t>
        </is>
      </c>
      <c r="B25" s="7">
        <f>SUMIF($A$8:$A$19,$A25,$D$8:$D$19)</f>
        <v/>
      </c>
      <c r="C25" s="7" t="n">
        <v>41200</v>
      </c>
      <c r="D25" s="11">
        <f>IFERROR(B25/C25,"")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19"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19"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set by measured coverage</t>
        </is>
      </c>
      <c r="B8" s="5" t="inlineStr">
        <is>
          <t>Rent Comps</t>
        </is>
      </c>
      <c r="C8" s="19" t="inlineStr">
        <is>
          <t>Three miles, because that is the ring where the operator's own scrape actually holds live rents for enough communities to say something. A wider ring would add distance without adding evidence — it trades real rents for guesses. The coverage sentence on the comp block is measured by a probe against the scraper's own status values, never written by hand.</t>
        </is>
      </c>
    </row>
    <row r="9">
      <c r="A9" s="5" t="inlineStr">
        <is>
          <t>Comps are matched on vintage</t>
        </is>
      </c>
      <c r="B9" s="5" t="inlineStr">
        <is>
          <t>Rent Comps — tiers</t>
        </is>
      </c>
      <c r="C9" s="19" t="inlineStr">
        <is>
          <t>The detailed tiers hold only communities within ten years of the subject's year built. This is not cosmetic. Whenever a comp set is wide enough to include materially newer product, part of the spread it reports is a renovation and amenity story wearing a rent label — and the wider the vintage range, the more of it is. Where this output set has measured the difference on its own subject, the figures appear in the note below rather than here.</t>
        </is>
      </c>
    </row>
    <row r="10">
      <c r="A10" s="5" t="inlineStr">
        <is>
          <t>Year built comes from a free-text note, where it exists at all</t>
        </is>
      </c>
      <c r="B10" s="5" t="inlineStr">
        <is>
          <t>Rent Comps — tiers</t>
        </is>
      </c>
      <c r="C10" s="19"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19"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19"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The lease trade-out report was available and deliberately not used</t>
        </is>
      </c>
      <c r="B13" s="5" t="inlineStr">
        <is>
          <t>Lease Trade-Out</t>
        </is>
      </c>
      <c r="C13" s="19" t="inlineStr">
        <is>
          <t>Where a trade-out block appears with no rows, that is because the source report was not used, not because the data does not exist. Trade-out is derived from the rent roll's own lease dates and rents instead, so every figure in this set traces back to one of three raw sources. An output whose provenance forks across more documents than it needs is harder to audit for no analytical gain.</t>
        </is>
      </c>
    </row>
    <row r="14">
      <c r="A14" s="5" t="inlineStr">
        <is>
          <t>Supply coverage is an area of ongoing work</t>
        </is>
      </c>
      <c r="B14" s="5" t="inlineStr">
        <is>
          <t>Supply</t>
        </is>
      </c>
      <c r="C14" s="19"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19"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19" t="inlineStr">
        <is>
          <t>This subject was built 2019. Against comps within +/-10 years of that — 11 communities, vintages 2009 to 2029 — its rent sits 3.8% above the comp set. Against every community in the radius with quoted rent, 14 of them spanning 1998 to 2029, the same rent sits 6.3% below the comp set. Both figures weight the comp side by this property's own unit mix, so the only difference between them is which communities are included: the 10.1% gap is the vintage spread, not the market. A comp set wide enough to include much newer product reports part of a renovation and amenity story as if it were rent.</t>
        </is>
      </c>
    </row>
    <row r="17">
      <c r="A17" s="5" t="inlineStr">
        <is>
          <t>This deal does not exist</t>
        </is>
      </c>
      <c r="B17" s="5" t="inlineStr">
        <is>
          <t>throughout</t>
        </is>
      </c>
      <c r="C17" s="19" t="inlineStr">
        <is>
          <t>Fixture Park is fabricated end to end — the property, the operating statement, the rent roll, the comps and the demographics. It exists to exercise every edge the writers handle, so some of its figures are deliberately awkward: a plan with no priced units, a comp community with no published year, a revenue line the source statement never subtotalled.</t>
        </is>
      </c>
    </row>
    <row r="18">
      <c r="A18" s="5" t="inlineStr">
        <is>
          <t>The 1-mile demographic ring overstates levels</t>
        </is>
      </c>
      <c r="B18" s="5" t="inlineStr">
        <is>
          <t>Demand</t>
        </is>
      </c>
      <c r="C18" s="19" t="inlineStr">
        <is>
          <t>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19">
      <c r="A19" s="5" t="inlineStr">
        <is>
          <t>The rent readback checks transcription, not column choice</t>
        </is>
      </c>
      <c r="B19" s="5" t="inlineStr">
        <is>
          <t>Error Checks &amp; Pricing</t>
        </is>
      </c>
      <c r="C19" s="19" t="inlineStr">
        <is>
          <t>Ten units are sampled and their normalized in-place rent is compared against the raw cell it came from, which catches a coercion or transcription error. It cannot catch the wrong rent column having been chosen, because both sides read the same column. The sample is seeded from the roll's as-of date, so the same roll always checks the same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2"/>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0" t="n">
        <v>44</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1"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19" t="inlineStr">
        <is>
          <t>Computed on the LOAN, never on the price. With no loan amount the line is reported as not asserted rather than inferred at 100% leverage.</t>
        </is>
      </c>
    </row>
    <row r="10">
      <c r="A10" s="21"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19" t="inlineStr">
        <is>
          <t>Rate applied to price_per_unit x unit_count. Per-unit statutes round the consideration up.</t>
        </is>
      </c>
    </row>
    <row r="11">
      <c r="A11" s="21" t="inlineStr">
        <is>
          <t>comps.nearby</t>
        </is>
      </c>
      <c r="B11" s="5" t="inlineStr">
        <is>
          <t>4 entries</t>
        </is>
      </c>
      <c r="C11" s="5" t="inlineStr">
        <is>
          <t>Tracked-community registry</t>
        </is>
      </c>
      <c r="D11" s="5" t="inlineStr">
        <is>
          <t>rents.communities within the radius</t>
        </is>
      </c>
      <c r="E11" s="5" t="inlineStr">
        <is>
          <t>derived</t>
        </is>
      </c>
      <c r="F11" s="5" t="inlineStr">
        <is>
          <t>comps.rows.tier</t>
        </is>
      </c>
      <c r="G11" s="19" t="inlineStr">
        <is>
          <t>Every tracked community inside the radius that is not a detail row, with the reason it is not. No rent columns.</t>
        </is>
      </c>
    </row>
    <row r="12">
      <c r="A12" s="21" t="inlineStr">
        <is>
          <t>comps.rows</t>
        </is>
      </c>
      <c r="B12" s="5" t="inlineStr">
        <is>
          <t>25 entries</t>
        </is>
      </c>
      <c r="C12" s="5" t="inlineStr">
        <is>
          <t>Synthetic weekly rent scrape</t>
        </is>
      </c>
      <c r="D12" s="5" t="inlineStr">
        <is>
          <t>—</t>
        </is>
      </c>
      <c r="E12" s="5" t="inlineStr">
        <is>
          <t>read</t>
        </is>
      </c>
      <c r="F12" s="12" t="n"/>
      <c r="G12" s="19" t="inlineStr">
        <is>
          <t>Own weekly scrape; asking and net effective stated separately.</t>
        </is>
      </c>
    </row>
    <row r="13">
      <c r="A13" s="21" t="inlineStr">
        <is>
          <t>comps.rows.tier</t>
        </is>
      </c>
      <c r="B13" s="5" t="inlineStr">
        <is>
          <t>—</t>
        </is>
      </c>
      <c r="C13" s="5" t="inlineStr">
        <is>
          <t>Tracked-community registry + the scrape</t>
        </is>
      </c>
      <c r="D13" s="5" t="inlineStr">
        <is>
          <t>comp_tiers.assign</t>
        </is>
      </c>
      <c r="E13" s="5" t="inlineStr">
        <is>
          <t>derived</t>
        </is>
      </c>
      <c r="F13" s="5" t="inlineStr">
        <is>
          <t>comps.rows.distance_mi, comps.tiering.subject_product, comps.tiering.subject_year_built, comps.tiering.year_band, comps.tiering.top_n, comps.tiering.additional_n</t>
        </is>
      </c>
      <c r="G13" s="19" t="inlineStr">
        <is>
          <t>Tier 1 = the closest 5 matching product and vintage; tier 2 = the next 15; everything else is tier 3, identity only. An unknown year does not disqualify — it is disclosed on the tier header instead.</t>
        </is>
      </c>
    </row>
    <row r="14">
      <c r="A14" s="21" t="inlineStr">
        <is>
          <t>demand.rings</t>
        </is>
      </c>
      <c r="B14" s="5" t="inlineStr">
        <is>
          <t>5 entries</t>
        </is>
      </c>
      <c r="C14" s="5" t="inlineStr">
        <is>
          <t>Synthetic public data extract</t>
        </is>
      </c>
      <c r="D14" s="5" t="inlineStr">
        <is>
          <t>—</t>
        </is>
      </c>
      <c r="E14" s="5" t="inlineStr">
        <is>
          <t>read</t>
        </is>
      </c>
      <c r="F14" s="12" t="n"/>
      <c r="G14" s="19" t="inlineStr">
        <is>
          <t>Ring demographics.</t>
        </is>
      </c>
    </row>
    <row r="15">
      <c r="A15" s="21" t="inlineStr">
        <is>
          <t>pricing.price_per_unit</t>
        </is>
      </c>
      <c r="B15" s="5" t="inlineStr">
        <is>
          <t>215,000</t>
        </is>
      </c>
      <c r="C15" s="5" t="inlineStr">
        <is>
          <t>Supplied by the operator</t>
        </is>
      </c>
      <c r="D15" s="5" t="inlineStr">
        <is>
          <t>—</t>
        </is>
      </c>
      <c r="E15" s="5" t="inlineStr">
        <is>
          <t>read</t>
        </is>
      </c>
      <c r="F15" s="12" t="n"/>
      <c r="G15" s="19" t="inlineStr">
        <is>
          <t>Illustrative. Inside the band a per-unit sale price occupies.</t>
        </is>
      </c>
    </row>
    <row r="16">
      <c r="A16" s="21" t="inlineStr">
        <is>
          <t>pricing.unit_count</t>
        </is>
      </c>
      <c r="B16" s="5" t="inlineStr">
        <is>
          <t>180</t>
        </is>
      </c>
      <c r="C16" s="5" t="inlineStr">
        <is>
          <t>Synthetic rent roll export</t>
        </is>
      </c>
      <c r="D16" s="5" t="inlineStr">
        <is>
          <t>Rent Roll!A:A</t>
        </is>
      </c>
      <c r="E16" s="5" t="inlineStr">
        <is>
          <t>derived</t>
        </is>
      </c>
      <c r="F16" s="5" t="inlineStr">
        <is>
          <t>summary.unit_count</t>
        </is>
      </c>
      <c r="G16" s="22" t="n"/>
    </row>
    <row r="17">
      <c r="A17" s="21" t="inlineStr">
        <is>
          <t>summary.assessed_value_basis</t>
        </is>
      </c>
      <c r="B17" s="5" t="inlineStr">
        <is>
          <t>23,000,000</t>
        </is>
      </c>
      <c r="C17" s="5" t="inlineStr">
        <is>
          <t>Synthetic county tax record</t>
        </is>
      </c>
      <c r="D17" s="5" t="inlineStr">
        <is>
          <t>Valuation notice</t>
        </is>
      </c>
      <c r="E17" s="5" t="inlineStr">
        <is>
          <t>read</t>
        </is>
      </c>
      <c r="F17" s="12" t="n"/>
      <c r="G17" s="22" t="n"/>
    </row>
    <row r="18">
      <c r="A18" s="21" t="inlineStr">
        <is>
          <t>summary.assessment_ratio</t>
        </is>
      </c>
      <c r="B18" s="5" t="inlineStr">
        <is>
          <t>1</t>
        </is>
      </c>
      <c r="C18" s="5" t="inlineStr">
        <is>
          <t>Synthetic county tax record</t>
        </is>
      </c>
      <c r="D18" s="5" t="inlineStr">
        <is>
          <t>Rate table</t>
        </is>
      </c>
      <c r="E18" s="5" t="inlineStr">
        <is>
          <t>read</t>
        </is>
      </c>
      <c r="F18" s="12" t="n"/>
      <c r="G18" s="22" t="n"/>
    </row>
    <row r="19">
      <c r="A19" s="21" t="inlineStr">
        <is>
          <t>summary.city</t>
        </is>
      </c>
      <c r="B19" s="5" t="inlineStr">
        <is>
          <t>Sample City</t>
        </is>
      </c>
      <c r="C19" s="5" t="inlineStr">
        <is>
          <t>Synthetic offering memorandum</t>
        </is>
      </c>
      <c r="D19" s="5" t="inlineStr">
        <is>
          <t>p.4</t>
        </is>
      </c>
      <c r="E19" s="5" t="inlineStr">
        <is>
          <t>read</t>
        </is>
      </c>
      <c r="F19" s="12" t="n"/>
      <c r="G19" s="22" t="n"/>
    </row>
    <row r="20">
      <c r="A20" s="21" t="inlineStr">
        <is>
          <t>summary.construction_status</t>
        </is>
      </c>
      <c r="B20" s="5" t="inlineStr">
        <is>
          <t>Stabilized</t>
        </is>
      </c>
      <c r="C20" s="5" t="inlineStr">
        <is>
          <t>Synthetic offering memorandum</t>
        </is>
      </c>
      <c r="D20" s="5" t="inlineStr">
        <is>
          <t>p.6</t>
        </is>
      </c>
      <c r="E20" s="5" t="inlineStr">
        <is>
          <t>read</t>
        </is>
      </c>
      <c r="F20" s="12" t="n"/>
      <c r="G20" s="22" t="n"/>
    </row>
    <row r="21">
      <c r="A21" s="21" t="inlineStr">
        <is>
          <t>summary.county</t>
        </is>
      </c>
      <c r="B21" s="5" t="inlineStr">
        <is>
          <t>Example County</t>
        </is>
      </c>
      <c r="C21" s="5" t="inlineStr">
        <is>
          <t>Synthetic offering memorandum</t>
        </is>
      </c>
      <c r="D21" s="5" t="inlineStr">
        <is>
          <t>p.4</t>
        </is>
      </c>
      <c r="E21" s="5" t="inlineStr">
        <is>
          <t>read</t>
        </is>
      </c>
      <c r="F21" s="12" t="n"/>
      <c r="G21" s="22" t="n"/>
    </row>
    <row r="22">
      <c r="A22" s="21" t="inlineStr">
        <is>
          <t>summary.deal_name</t>
        </is>
      </c>
      <c r="B22" s="5" t="inlineStr">
        <is>
          <t>Fixture Park</t>
        </is>
      </c>
      <c r="C22" s="5" t="inlineStr">
        <is>
          <t>Synthetic offering memorandum</t>
        </is>
      </c>
      <c r="D22" s="5" t="inlineStr">
        <is>
          <t>p.1</t>
        </is>
      </c>
      <c r="E22" s="5" t="inlineStr">
        <is>
          <t>read</t>
        </is>
      </c>
      <c r="F22" s="12" t="n"/>
      <c r="G22" s="19" t="inlineStr">
        <is>
          <t>Fixture Park</t>
        </is>
      </c>
    </row>
    <row r="23">
      <c r="A23" s="21" t="inlineStr">
        <is>
          <t>summary.deal_status</t>
        </is>
      </c>
      <c r="B23" s="5" t="inlineStr">
        <is>
          <t>On the market</t>
        </is>
      </c>
      <c r="C23" s="5" t="inlineStr">
        <is>
          <t>Synthetic offering memorandum</t>
        </is>
      </c>
      <c r="D23" s="5" t="inlineStr">
        <is>
          <t>p.2</t>
        </is>
      </c>
      <c r="E23" s="5" t="inlineStr">
        <is>
          <t>read</t>
        </is>
      </c>
      <c r="F23" s="12" t="n"/>
      <c r="G23" s="22" t="n"/>
    </row>
    <row r="24">
      <c r="A24" s="21" t="inlineStr">
        <is>
          <t>summary.delivery_date</t>
        </is>
      </c>
      <c r="B24" s="5" t="inlineStr">
        <is>
          <t>Delivered 2019; fully stabilized since 2021</t>
        </is>
      </c>
      <c r="C24" s="5" t="inlineStr">
        <is>
          <t>Synthetic offering memorandum</t>
        </is>
      </c>
      <c r="D24" s="5" t="inlineStr">
        <is>
          <t>p.6</t>
        </is>
      </c>
      <c r="E24" s="5" t="inlineStr">
        <is>
          <t>read</t>
        </is>
      </c>
      <c r="F24" s="12" t="n"/>
      <c r="G24" s="22" t="n"/>
    </row>
    <row r="25">
      <c r="A25" s="21" t="inlineStr">
        <is>
          <t>summary.fair_market_value</t>
        </is>
      </c>
      <c r="B25" s="5" t="inlineStr">
        <is>
          <t>39,600,000</t>
        </is>
      </c>
      <c r="C25" s="5" t="inlineStr">
        <is>
          <t>Supplied by the operator</t>
        </is>
      </c>
      <c r="D25" s="5" t="inlineStr">
        <is>
          <t>—</t>
        </is>
      </c>
      <c r="E25" s="5" t="inlineStr">
        <is>
          <t>read</t>
        </is>
      </c>
      <c r="F25" s="12" t="n"/>
      <c r="G25" s="19" t="inlineStr">
        <is>
          <t>Operator's own estimate.</t>
        </is>
      </c>
    </row>
    <row r="26">
      <c r="A26" s="21" t="inlineStr">
        <is>
          <t>summary.in_place_rent_avg</t>
        </is>
      </c>
      <c r="B26" s="5" t="inlineStr">
        <is>
          <t>1,795.36</t>
        </is>
      </c>
      <c r="C26" s="5" t="inlineStr">
        <is>
          <t>Derived by the pipeline</t>
        </is>
      </c>
      <c r="D26" s="5" t="inlineStr">
        <is>
          <t>Unit Mix Summary!E</t>
        </is>
      </c>
      <c r="E26" s="5" t="inlineStr">
        <is>
          <t>computed</t>
        </is>
      </c>
      <c r="F26" s="5" t="inlineStr">
        <is>
          <t>rent_roll.units</t>
        </is>
      </c>
      <c r="G26" s="19" t="inlineStr">
        <is>
          <t>Occupied units, straight off the roll.</t>
        </is>
      </c>
    </row>
    <row r="27">
      <c r="A27" s="21" t="inlineStr">
        <is>
          <t>summary.listing_brokerage</t>
        </is>
      </c>
      <c r="B27" s="5" t="inlineStr">
        <is>
          <t>Listing brokerage</t>
        </is>
      </c>
      <c r="C27" s="5" t="inlineStr">
        <is>
          <t>Derived by the pipeline</t>
        </is>
      </c>
      <c r="D27" s="5" t="inlineStr">
        <is>
          <t>—</t>
        </is>
      </c>
      <c r="E27" s="5" t="inlineStr">
        <is>
          <t>derived</t>
        </is>
      </c>
      <c r="F27" s="5" t="inlineStr">
        <is>
          <t>summary.seller_entity</t>
        </is>
      </c>
      <c r="G27" s="19" t="inlineStr">
        <is>
          <t>Generic label; no firm or individual is named in a published file.</t>
        </is>
      </c>
    </row>
    <row r="28">
      <c r="A28" s="21" t="inlineStr">
        <is>
          <t>summary.market_rent_for_model</t>
        </is>
      </c>
      <c r="B28" s="5" t="inlineStr">
        <is>
          <t>1,834.78</t>
        </is>
      </c>
      <c r="C28" s="5" t="inlineStr">
        <is>
          <t>Derived by the pipeline</t>
        </is>
      </c>
      <c r="D28" s="5" t="inlineStr">
        <is>
          <t>Unit Mix Summary!H</t>
        </is>
      </c>
      <c r="E28" s="5" t="inlineStr">
        <is>
          <t>computed</t>
        </is>
      </c>
      <c r="F28" s="5" t="inlineStr">
        <is>
          <t>rent_roll.units</t>
        </is>
      </c>
      <c r="G28" s="19" t="inlineStr">
        <is>
          <t>New-lease average where a plan has new leases in the window, else in-place. Never a blend.</t>
        </is>
      </c>
    </row>
    <row r="29">
      <c r="A29" s="21" t="inlineStr">
        <is>
          <t>summary.msa</t>
        </is>
      </c>
      <c r="B29" s="5" t="inlineStr">
        <is>
          <t>Sample City MSA</t>
        </is>
      </c>
      <c r="C29" s="5" t="inlineStr">
        <is>
          <t>Derived by the pipeline</t>
        </is>
      </c>
      <c r="D29" s="5" t="inlineStr">
        <is>
          <t>—</t>
        </is>
      </c>
      <c r="E29" s="5" t="inlineStr">
        <is>
          <t>derived</t>
        </is>
      </c>
      <c r="F29" s="5" t="inlineStr">
        <is>
          <t>summary.city, summary.state</t>
        </is>
      </c>
      <c r="G29" s="19" t="inlineStr">
        <is>
          <t>Metro assigned from the city/state pair.</t>
        </is>
      </c>
    </row>
    <row r="30">
      <c r="A30" s="21" t="inlineStr">
        <is>
          <t>summary.pricing_guidance</t>
        </is>
      </c>
      <c r="B30" s="5" t="inlineStr">
        <is>
          <t>$215,000 per unit (illustrative)</t>
        </is>
      </c>
      <c r="C30" s="5" t="inlineStr">
        <is>
          <t>Supplied by the operator</t>
        </is>
      </c>
      <c r="D30" s="5" t="inlineStr">
        <is>
          <t>—</t>
        </is>
      </c>
      <c r="E30" s="5" t="inlineStr">
        <is>
          <t>read</t>
        </is>
      </c>
      <c r="F30" s="12" t="n"/>
      <c r="G30" s="19" t="inlineStr">
        <is>
          <t>Illustrative figure supplied directly; not a quote or an offer.</t>
        </is>
      </c>
    </row>
    <row r="31">
      <c r="A31" s="21" t="inlineStr">
        <is>
          <t>summary.product_detail</t>
        </is>
      </c>
      <c r="B31" s="5" t="inlineStr">
        <is>
          <t>180 units across six plans: 62 one-bedroom (720–795 SF), 78 two-bedroom (1,050–1,140 SF…</t>
        </is>
      </c>
      <c r="C31" s="5" t="inlineStr">
        <is>
          <t>Synthetic offering memorandum</t>
        </is>
      </c>
      <c r="D31" s="5" t="inlineStr">
        <is>
          <t>p.7</t>
        </is>
      </c>
      <c r="E31" s="5" t="inlineStr">
        <is>
          <t>read</t>
        </is>
      </c>
      <c r="F31" s="12" t="n"/>
      <c r="G31" s="22" t="n"/>
    </row>
    <row r="32">
      <c r="A32" s="21" t="inlineStr">
        <is>
          <t>summary.product_type</t>
        </is>
      </c>
      <c r="B32" s="5" t="inlineStr">
        <is>
          <t>MF</t>
        </is>
      </c>
      <c r="C32" s="5" t="inlineStr">
        <is>
          <t>Synthetic offering memorandum</t>
        </is>
      </c>
      <c r="D32" s="5" t="inlineStr">
        <is>
          <t>p.6</t>
        </is>
      </c>
      <c r="E32" s="5" t="inlineStr">
        <is>
          <t>read</t>
        </is>
      </c>
      <c r="F32" s="12" t="n"/>
      <c r="G32" s="22" t="n"/>
    </row>
    <row r="33">
      <c r="A33" s="21" t="inlineStr">
        <is>
          <t>summary.school_elementary_name</t>
        </is>
      </c>
      <c r="B33" s="5" t="inlineStr">
        <is>
          <t>Example Creek Elementary</t>
        </is>
      </c>
      <c r="C33" s="5" t="inlineStr">
        <is>
          <t>Synthetic public data extract</t>
        </is>
      </c>
      <c r="D33" s="5" t="inlineStr">
        <is>
          <t>School attendance lookup</t>
        </is>
      </c>
      <c r="E33" s="5" t="inlineStr">
        <is>
          <t>read</t>
        </is>
      </c>
      <c r="F33" s="12" t="n"/>
      <c r="G33" s="22" t="n"/>
    </row>
    <row r="34">
      <c r="A34" s="21" t="inlineStr">
        <is>
          <t>summary.school_high_name</t>
        </is>
      </c>
      <c r="B34" s="5" t="inlineStr">
        <is>
          <t>Sample City High</t>
        </is>
      </c>
      <c r="C34" s="5" t="inlineStr">
        <is>
          <t>Synthetic public data extract</t>
        </is>
      </c>
      <c r="D34" s="5" t="inlineStr">
        <is>
          <t>School attendance lookup</t>
        </is>
      </c>
      <c r="E34" s="5" t="inlineStr">
        <is>
          <t>read</t>
        </is>
      </c>
      <c r="F34" s="12" t="n"/>
      <c r="G34" s="22" t="n"/>
    </row>
    <row r="35">
      <c r="A35" s="21" t="inlineStr">
        <is>
          <t>summary.school_middle_name</t>
        </is>
      </c>
      <c r="B35" s="5" t="inlineStr">
        <is>
          <t>Example Ridge Middle</t>
        </is>
      </c>
      <c r="C35" s="5" t="inlineStr">
        <is>
          <t>Synthetic public data extract</t>
        </is>
      </c>
      <c r="D35" s="5" t="inlineStr">
        <is>
          <t>School attendance lookup</t>
        </is>
      </c>
      <c r="E35" s="5" t="inlineStr">
        <is>
          <t>read</t>
        </is>
      </c>
      <c r="F35" s="12" t="n"/>
      <c r="G35" s="22" t="n"/>
    </row>
    <row r="36">
      <c r="A36" s="21" t="inlineStr">
        <is>
          <t>summary.seller_entity</t>
        </is>
      </c>
      <c r="B36" s="5" t="inlineStr">
        <is>
          <t>Sample City Residential Holdings LLC</t>
        </is>
      </c>
      <c r="C36" s="5" t="inlineStr">
        <is>
          <t>Synthetic offering memorandum</t>
        </is>
      </c>
      <c r="D36" s="5" t="inlineStr">
        <is>
          <t>p.2</t>
        </is>
      </c>
      <c r="E36" s="5" t="inlineStr">
        <is>
          <t>read</t>
        </is>
      </c>
      <c r="F36" s="12" t="n"/>
      <c r="G36" s="22" t="n"/>
    </row>
    <row r="37">
      <c r="A37" s="21" t="inlineStr">
        <is>
          <t>summary.state</t>
        </is>
      </c>
      <c r="B37" s="5" t="inlineStr">
        <is>
          <t>TX</t>
        </is>
      </c>
      <c r="C37" s="5" t="inlineStr">
        <is>
          <t>Synthetic offering memorandum</t>
        </is>
      </c>
      <c r="D37" s="5" t="inlineStr">
        <is>
          <t>p.4</t>
        </is>
      </c>
      <c r="E37" s="5" t="inlineStr">
        <is>
          <t>read</t>
        </is>
      </c>
      <c r="F37" s="12" t="n"/>
      <c r="G37" s="22" t="n"/>
    </row>
    <row r="38">
      <c r="A38" s="21" t="inlineStr">
        <is>
          <t>summary.street_address</t>
        </is>
      </c>
      <c r="B38" s="5" t="inlineStr">
        <is>
          <t>1400 Example Parkway</t>
        </is>
      </c>
      <c r="C38" s="5" t="inlineStr">
        <is>
          <t>Synthetic offering memorandum</t>
        </is>
      </c>
      <c r="D38" s="5" t="inlineStr">
        <is>
          <t>p.4</t>
        </is>
      </c>
      <c r="E38" s="5" t="inlineStr">
        <is>
          <t>read</t>
        </is>
      </c>
      <c r="F38" s="12" t="n"/>
      <c r="G38" s="19" t="inlineStr">
        <is>
          <t>1400 Example Parkway</t>
        </is>
      </c>
    </row>
    <row r="39">
      <c r="A39" s="21" t="inlineStr">
        <is>
          <t>summary.structure</t>
        </is>
      </c>
      <c r="B39" s="5" t="inlineStr">
        <is>
          <t>Three-story garden, surface parked</t>
        </is>
      </c>
      <c r="C39" s="5" t="inlineStr">
        <is>
          <t>Synthetic offering memorandum</t>
        </is>
      </c>
      <c r="D39" s="5" t="inlineStr">
        <is>
          <t>p.6</t>
        </is>
      </c>
      <c r="E39" s="5" t="inlineStr">
        <is>
          <t>read</t>
        </is>
      </c>
      <c r="F39" s="12" t="n"/>
      <c r="G39" s="19" t="inlineStr">
        <is>
          <t>Three-story garden, surface parked</t>
        </is>
      </c>
    </row>
    <row r="40">
      <c r="A40" s="21" t="inlineStr">
        <is>
          <t>summary.tax_area_code</t>
        </is>
      </c>
      <c r="B40" s="5" t="inlineStr">
        <is>
          <t>SYN-0000</t>
        </is>
      </c>
      <c r="C40" s="5" t="inlineStr">
        <is>
          <t>Synthetic county tax record</t>
        </is>
      </c>
      <c r="D40" s="5" t="inlineStr">
        <is>
          <t>Rate table</t>
        </is>
      </c>
      <c r="E40" s="5" t="inlineStr">
        <is>
          <t>read</t>
        </is>
      </c>
      <c r="F40" s="12" t="n"/>
      <c r="G40" s="22" t="n"/>
    </row>
    <row r="41">
      <c r="A41" s="21" t="inlineStr">
        <is>
          <t>summary.tax_basis_label</t>
        </is>
      </c>
      <c r="B41" s="5" t="inlineStr">
        <is>
          <t>Assessed value (synthetic)</t>
        </is>
      </c>
      <c r="C41" s="5" t="inlineStr">
        <is>
          <t>Synthetic county tax record</t>
        </is>
      </c>
      <c r="D41" s="5" t="inlineStr">
        <is>
          <t>Valuation notice</t>
        </is>
      </c>
      <c r="E41" s="5" t="inlineStr">
        <is>
          <t>read</t>
        </is>
      </c>
      <c r="F41" s="12" t="n"/>
      <c r="G41" s="22" t="n"/>
    </row>
    <row r="42">
      <c r="A42" s="21" t="inlineStr">
        <is>
          <t>summary.tax_basis_note</t>
        </is>
      </c>
      <c r="B42" s="5" t="inlineStr">
        <is>
          <t>Synthetic basis. On a real deal this row states what the basis IS in that state and whe…</t>
        </is>
      </c>
      <c r="C42" s="5" t="inlineStr">
        <is>
          <t>Synthetic county tax record</t>
        </is>
      </c>
      <c r="D42" s="5" t="inlineStr">
        <is>
          <t>Valuation notice</t>
        </is>
      </c>
      <c r="E42" s="5" t="inlineStr">
        <is>
          <t>read</t>
        </is>
      </c>
      <c r="F42" s="12" t="n"/>
      <c r="G42" s="22" t="n"/>
    </row>
    <row r="43">
      <c r="A43" s="21" t="inlineStr">
        <is>
          <t>summary.tax_billed_amount</t>
        </is>
      </c>
      <c r="B43" s="5" t="inlineStr">
        <is>
          <t>494,040</t>
        </is>
      </c>
      <c r="C43" s="5" t="inlineStr">
        <is>
          <t>Synthetic county tax record</t>
        </is>
      </c>
      <c r="D43" s="5" t="inlineStr">
        <is>
          <t>Tax bill</t>
        </is>
      </c>
      <c r="E43" s="5" t="inlineStr">
        <is>
          <t>read</t>
        </is>
      </c>
      <c r="F43" s="12" t="n"/>
      <c r="G43" s="22" t="n"/>
    </row>
    <row r="44">
      <c r="A44" s="21" t="inlineStr">
        <is>
          <t>summary.tax_billed_year</t>
        </is>
      </c>
      <c r="B44" s="5" t="inlineStr">
        <is>
          <t>2,025</t>
        </is>
      </c>
      <c r="C44" s="5" t="inlineStr">
        <is>
          <t>Synthetic county tax record</t>
        </is>
      </c>
      <c r="D44" s="5" t="inlineStr">
        <is>
          <t>Tax bill</t>
        </is>
      </c>
      <c r="E44" s="5" t="inlineStr">
        <is>
          <t>read</t>
        </is>
      </c>
      <c r="F44" s="12" t="n"/>
      <c r="G44" s="22" t="n"/>
    </row>
    <row r="45">
      <c r="A45" s="21" t="inlineStr">
        <is>
          <t>summary.tax_divisor</t>
        </is>
      </c>
      <c r="B45" s="5" t="inlineStr">
        <is>
          <t>100</t>
        </is>
      </c>
      <c r="C45" s="5" t="inlineStr">
        <is>
          <t>Synthetic county tax record</t>
        </is>
      </c>
      <c r="D45" s="5" t="inlineStr">
        <is>
          <t>Rate table</t>
        </is>
      </c>
      <c r="E45" s="5" t="inlineStr">
        <is>
          <t>read</t>
        </is>
      </c>
      <c r="F45" s="12" t="n"/>
      <c r="G45" s="22" t="n"/>
    </row>
    <row r="46">
      <c r="A46" s="21" t="inlineStr">
        <is>
          <t>summary.tax_exemption</t>
        </is>
      </c>
      <c r="B46" s="5" t="inlineStr">
        <is>
          <t>0</t>
        </is>
      </c>
      <c r="C46" s="5" t="inlineStr">
        <is>
          <t>Synthetic county tax record</t>
        </is>
      </c>
      <c r="D46" s="5" t="inlineStr">
        <is>
          <t>Valuation notice</t>
        </is>
      </c>
      <c r="E46" s="5" t="inlineStr">
        <is>
          <t>read</t>
        </is>
      </c>
      <c r="F46" s="12" t="n"/>
      <c r="G46" s="22" t="n"/>
    </row>
    <row r="47">
      <c r="A47" s="21" t="inlineStr">
        <is>
          <t>summary.tax_parcel_id</t>
        </is>
      </c>
      <c r="B47" s="5" t="inlineStr">
        <is>
          <t>SYN-000-00-000</t>
        </is>
      </c>
      <c r="C47" s="5" t="inlineStr">
        <is>
          <t>Synthetic county tax record</t>
        </is>
      </c>
      <c r="D47" s="5" t="inlineStr">
        <is>
          <t>Parcel record</t>
        </is>
      </c>
      <c r="E47" s="5" t="inlineStr">
        <is>
          <t>read</t>
        </is>
      </c>
      <c r="F47" s="12" t="n"/>
      <c r="G47" s="22" t="n"/>
    </row>
    <row r="48">
      <c r="A48" s="21" t="inlineStr">
        <is>
          <t>summary.tax_rate_as_billed</t>
        </is>
      </c>
      <c r="B48" s="5" t="inlineStr">
        <is>
          <t>2.15</t>
        </is>
      </c>
      <c r="C48" s="5" t="inlineStr">
        <is>
          <t>Synthetic county tax record</t>
        </is>
      </c>
      <c r="D48" s="5" t="inlineStr">
        <is>
          <t>Rate table, synthetic district</t>
        </is>
      </c>
      <c r="E48" s="5" t="inlineStr">
        <is>
          <t>read</t>
        </is>
      </c>
      <c r="F48" s="12" t="n"/>
      <c r="G48" s="22" t="n"/>
    </row>
    <row r="49">
      <c r="A49" s="21" t="inlineStr">
        <is>
          <t>summary.unit_count</t>
        </is>
      </c>
      <c r="B49" s="5" t="inlineStr">
        <is>
          <t>180</t>
        </is>
      </c>
      <c r="C49" s="5" t="inlineStr">
        <is>
          <t>Synthetic rent roll export</t>
        </is>
      </c>
      <c r="D49" s="5" t="inlineStr">
        <is>
          <t>Rent Roll!A:A</t>
        </is>
      </c>
      <c r="E49" s="5" t="inlineStr">
        <is>
          <t>derived</t>
        </is>
      </c>
      <c r="F49" s="5" t="inlineStr">
        <is>
          <t>rent_roll.units</t>
        </is>
      </c>
      <c r="G49" s="19" t="inlineStr">
        <is>
          <t>Distinct unit identifiers on the roll.</t>
        </is>
      </c>
    </row>
    <row r="50">
      <c r="A50" s="21" t="inlineStr">
        <is>
          <t>summary.year_built</t>
        </is>
      </c>
      <c r="B50" s="5" t="inlineStr">
        <is>
          <t>2,019</t>
        </is>
      </c>
      <c r="C50" s="5" t="inlineStr">
        <is>
          <t>Synthetic offering memorandum</t>
        </is>
      </c>
      <c r="D50" s="5" t="inlineStr">
        <is>
          <t>p.6</t>
        </is>
      </c>
      <c r="E50" s="5" t="inlineStr">
        <is>
          <t>read</t>
        </is>
      </c>
      <c r="F50" s="12" t="n"/>
      <c r="G50" s="22" t="n"/>
    </row>
    <row r="51">
      <c r="A51" s="21" t="inlineStr">
        <is>
          <t>summary.zip</t>
        </is>
      </c>
      <c r="B51" s="5" t="inlineStr">
        <is>
          <t>75000</t>
        </is>
      </c>
      <c r="C51" s="5" t="inlineStr">
        <is>
          <t>Synthetic offering memorandum</t>
        </is>
      </c>
      <c r="D51" s="5" t="inlineStr">
        <is>
          <t>p.4</t>
        </is>
      </c>
      <c r="E51" s="5" t="inlineStr">
        <is>
          <t>read</t>
        </is>
      </c>
      <c r="F51" s="12" t="n"/>
      <c r="G51" s="22" t="n"/>
    </row>
    <row r="52">
      <c r="A52" s="21" t="inlineStr">
        <is>
          <t>supply.rings</t>
        </is>
      </c>
      <c r="B52" s="5" t="inlineStr">
        <is>
          <t>12 entries</t>
        </is>
      </c>
      <c r="C52" s="5" t="inlineStr">
        <is>
          <t>Synthetic public data extract</t>
        </is>
      </c>
      <c r="D52" s="5" t="inlineStr">
        <is>
          <t>—</t>
        </is>
      </c>
      <c r="E52" s="5" t="inlineStr">
        <is>
          <t>read</t>
        </is>
      </c>
      <c r="F52" s="12" t="n"/>
      <c r="G52" s="19" t="inlineStr">
        <is>
          <t>Permit and entitlement records.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