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24" customWidth="1" min="1" max="1"/>
    <col width="38" customWidth="1" min="2" max="2"/>
    <col width="42" customWidth="1" min="3" max="3"/>
    <col width="12" customWidth="1" min="4" max="4"/>
    <col width="20"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divisor</t>
        </is>
      </c>
      <c r="B10" s="7" t="n">
        <v>100</v>
      </c>
      <c r="D10" s="6" t="inlineStr">
        <is>
          <t>Synthetic county tax record — Rate table</t>
        </is>
      </c>
    </row>
    <row r="11">
      <c r="A11" s="5" t="inlineStr">
        <is>
          <t>Rate evidence</t>
        </is>
      </c>
      <c r="B11" s="12" t="n"/>
      <c r="C11" s="6" t="inlineStr">
        <is>
          <t>Rate as billed, 2.148 per $100 of assessed value, read from the synthetic county bill for the 2025 tax year.</t>
        </is>
      </c>
    </row>
    <row r="12"/>
    <row r="13">
      <c r="A13" s="4" t="inlineStr">
        <is>
          <t>Current year — computed, then checked against the bill</t>
        </is>
      </c>
      <c r="B13" s="4" t="n"/>
      <c r="C13" s="4" t="n"/>
      <c r="D13" s="4" t="n"/>
    </row>
    <row r="14">
      <c r="A14" s="5" t="inlineStr">
        <is>
          <t>Assessed-value basis</t>
        </is>
      </c>
      <c r="B14" s="7" t="n">
        <v>23000000</v>
      </c>
      <c r="C14" s="6" t="inlineStr">
        <is>
          <t>Assessed value (synthetic)</t>
        </is>
      </c>
      <c r="D14" s="6" t="inlineStr">
        <is>
          <t>Synthetic county tax record — Valuation notice</t>
        </is>
      </c>
    </row>
    <row r="15">
      <c r="A15" s="5" t="inlineStr">
        <is>
          <t>Assessment ratio</t>
        </is>
      </c>
      <c r="B15" s="11" t="n">
        <v>1</v>
      </c>
    </row>
    <row r="16">
      <c r="A16" s="5" t="inlineStr">
        <is>
          <t>Assessed value</t>
        </is>
      </c>
      <c r="B16" s="7">
        <f>B14*B15</f>
        <v/>
      </c>
      <c r="C16" s="6" t="inlineStr">
        <is>
          <t>Basis times the legal-class ratio.</t>
        </is>
      </c>
    </row>
    <row r="17">
      <c r="A17" s="5" t="inlineStr">
        <is>
          <t>Combined rate</t>
        </is>
      </c>
      <c r="B17" s="10" t="n">
        <v>2.148</v>
      </c>
    </row>
    <row r="18">
      <c r="A18" s="5" t="inlineStr">
        <is>
          <t>Computed annual tax</t>
        </is>
      </c>
      <c r="B18" s="7">
        <f>B16*B17/100</f>
        <v/>
      </c>
      <c r="C18" s="6" t="inlineStr">
        <is>
          <t>Assessed value times rate, per $100.</t>
        </is>
      </c>
    </row>
    <row r="19">
      <c r="A19" s="5" t="inlineStr">
        <is>
          <t>County billed amount</t>
        </is>
      </c>
      <c r="B19" s="7" t="n">
        <v>494040</v>
      </c>
      <c r="C19" s="6" t="inlineStr">
        <is>
          <t>As billed for 2025.</t>
        </is>
      </c>
      <c r="D19" s="6" t="inlineStr">
        <is>
          <t>Synthetic county tax record — Tax bill</t>
        </is>
      </c>
    </row>
    <row r="20">
      <c r="A20" s="5" t="inlineStr">
        <is>
          <t>Computed less billed</t>
        </is>
      </c>
      <c r="B20" s="7">
        <f>IF(AND(ISNUMBER(B18),ISNUMBER(B19)),B18-B19,"NOT CHECKED")</f>
        <v/>
      </c>
      <c r="C20" s="6" t="inlineStr">
        <is>
          <t>Guarded: a missing input renders NOT CHECKED rather than a difference of zero.</t>
        </is>
      </c>
    </row>
    <row r="21">
      <c r="A21" s="5" t="inlineStr">
        <is>
          <t>Check</t>
        </is>
      </c>
      <c r="B21" s="5" t="inlineStr">
        <is>
          <t>ties</t>
        </is>
      </c>
      <c r="C21" s="6" t="inlineStr">
        <is>
          <t>Ties within 2% of the billed figure.</t>
        </is>
      </c>
    </row>
    <row r="22"/>
    <row r="23">
      <c r="A23" s="4" t="inlineStr">
        <is>
          <t>Underwriting assumption at the illustrative price</t>
        </is>
      </c>
      <c r="B23" s="4" t="n"/>
      <c r="C23" s="4" t="n"/>
      <c r="D23" s="4" t="n"/>
    </row>
    <row r="24">
      <c r="A24" s="5" t="inlineStr">
        <is>
          <t>State</t>
        </is>
      </c>
      <c r="B24" s="5" t="inlineStr">
        <is>
          <t>TX</t>
        </is>
      </c>
    </row>
    <row r="25">
      <c r="A25" s="5" t="inlineStr">
        <is>
          <t>Does the basis reset on sale?</t>
        </is>
      </c>
      <c r="B25" s="5" t="inlineStr">
        <is>
          <t>Yes</t>
        </is>
      </c>
      <c r="C25" s="6" t="inlineStr">
        <is>
          <t>TX reassesses toward the transaction price, so the generic pattern applies: assessed value is the purchase price times the statutory assessment ratio.</t>
        </is>
      </c>
    </row>
    <row r="26">
      <c r="A26" s="5" t="inlineStr">
        <is>
          <t>Illustrative purchase price (illustrative)</t>
        </is>
      </c>
      <c r="B26" s="7" t="n">
        <v>38700000</v>
      </c>
    </row>
    <row r="27">
      <c r="A27" s="5" t="inlineStr">
        <is>
          <t>Year-one basis</t>
        </is>
      </c>
      <c r="B27" s="7" t="n">
        <v>38700000</v>
      </c>
      <c r="C27" s="6" t="inlineStr">
        <is>
          <t>Purchase price x assessment ratio</t>
        </is>
      </c>
    </row>
    <row r="28">
      <c r="A28" s="5" t="inlineStr">
        <is>
          <t>Year-one assessed value</t>
        </is>
      </c>
      <c r="B28" s="7" t="n">
        <v>38700000</v>
      </c>
    </row>
    <row r="29">
      <c r="A29" s="5" t="inlineStr">
        <is>
          <t>Year-one tax (illustrative)</t>
        </is>
      </c>
      <c r="B29" s="7" t="n">
        <v>831276.0000000001</v>
      </c>
      <c r="C29" s="6" t="inlineStr">
        <is>
          <t>The figure to carry into the model.</t>
        </is>
      </c>
    </row>
    <row r="30">
      <c r="A30" s="5" t="inlineStr">
        <is>
          <t>Year-one tax per unit (illustrative)</t>
        </is>
      </c>
      <c r="B30" s="7" t="n">
        <v>4618.200000000001</v>
      </c>
    </row>
    <row r="31"/>
    <row r="32">
      <c r="A32" s="4" t="inlineStr">
        <is>
          <t>What the generic shortcut would have said</t>
        </is>
      </c>
      <c r="B32" s="4" t="n"/>
      <c r="C32" s="4" t="n"/>
      <c r="D32" s="4" t="n"/>
    </row>
    <row r="33">
      <c r="A33" s="5" t="inlineStr">
        <is>
          <t>Assessed value if it reset to the price</t>
        </is>
      </c>
      <c r="B33" s="7" t="n">
        <v>38700000</v>
      </c>
      <c r="C33" s="6" t="inlineStr">
        <is>
          <t>Purchase price times the assessment ratio — the pattern that holds in most states.</t>
        </is>
      </c>
    </row>
    <row r="34">
      <c r="A34" s="5" t="inlineStr">
        <is>
          <t>Tax on that basis</t>
        </is>
      </c>
      <c r="B34" s="7" t="n">
        <v>831276.0000000001</v>
      </c>
    </row>
    <row r="35">
      <c r="A35" s="5" t="inlineStr">
        <is>
          <t>Overstatement versus the correct approach</t>
        </is>
      </c>
      <c r="B35" s="18" t="n">
        <v>1</v>
      </c>
      <c r="C35"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9"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9"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19"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 and it changes the answer</t>
        </is>
      </c>
      <c r="B9" s="5" t="inlineStr">
        <is>
          <t>Rent Comps — tiers</t>
        </is>
      </c>
      <c r="C9" s="19" t="inlineStr">
        <is>
          <t>The detailed tiers hold only communities within ten years of the subject's year built. This is not cosmetic. On this deal the flat comp set — every nearby community with rents — averaged a 1981 asset against product built 1994 to 2026 and read the subject as roughly 9% BELOW market. Restricted to same-vintage comps the subject is about 1.5% ABOVE market. The first number was measuring the age gap, not the market. Whenever a comp set is wide enough to include newer product, the spread it reports is partly a renovation and amenity story wearing a rent label.</t>
        </is>
      </c>
    </row>
    <row r="10">
      <c r="A10" s="5" t="inlineStr">
        <is>
          <t>Year built comes from a free-text note, where it exists at all</t>
        </is>
      </c>
      <c r="B10" s="5" t="inlineStr">
        <is>
          <t>Rent Comps — tiers</t>
        </is>
      </c>
      <c r="C10" s="19"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9"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this deal that rule produces a market rent BELOW in-place, which is the correct and uncomfortable answer for an asset whose in-place rents sit above what the market is currently signing.</t>
        </is>
      </c>
    </row>
    <row r="12">
      <c r="A12" s="5" t="inlineStr">
        <is>
          <t>Estimated values are not published as facts</t>
        </is>
      </c>
      <c r="B12" s="5" t="inlineStr">
        <is>
          <t>throughout</t>
        </is>
      </c>
      <c r="C12" s="19"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19"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19" t="inlineStr">
        <is>
          <t>The supply section is real and unmodified — the rings, stages and unit counts come from a public permit and entitlement pipeline, and the zeros in the tight rings are genuine rather than missing.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9"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This deal does not exist</t>
        </is>
      </c>
      <c r="B16" s="5" t="inlineStr">
        <is>
          <t>throughout</t>
        </is>
      </c>
      <c r="C16" s="19"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7">
      <c r="A17" s="5" t="inlineStr">
        <is>
          <t>The 1-mile demographic ring overstates levels</t>
        </is>
      </c>
      <c r="B17" s="5" t="inlineStr">
        <is>
          <t>Demand</t>
        </is>
      </c>
      <c r="C17" s="19"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8">
      <c r="A18" s="5" t="inlineStr">
        <is>
          <t>The rent readback checks transcription, not column choice</t>
        </is>
      </c>
      <c r="B18" s="5" t="inlineStr">
        <is>
          <t>Error Checks &amp; Pricing</t>
        </is>
      </c>
      <c r="C18" s="19"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0"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1"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9" t="inlineStr">
        <is>
          <t>Computed on the LOAN, never on the price. With no loan amount the line is reported as not asserted rather than inferred at 100% leverage.</t>
        </is>
      </c>
    </row>
    <row r="10">
      <c r="A10" s="21"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9" t="inlineStr">
        <is>
          <t>Rate applied to price_per_unit x unit_count. Per-unit statutes round the consideration up.</t>
        </is>
      </c>
    </row>
    <row r="11">
      <c r="A11" s="21"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19" t="inlineStr">
        <is>
          <t>Every tracked community inside the radius that is not a detail row, with the reason it is not. No rent columns.</t>
        </is>
      </c>
    </row>
    <row r="12">
      <c r="A12" s="21" t="inlineStr">
        <is>
          <t>comps.rows</t>
        </is>
      </c>
      <c r="B12" s="5" t="inlineStr">
        <is>
          <t>25 entries</t>
        </is>
      </c>
      <c r="C12" s="5" t="inlineStr">
        <is>
          <t>Synthetic weekly rent scrape</t>
        </is>
      </c>
      <c r="D12" s="5" t="inlineStr">
        <is>
          <t>—</t>
        </is>
      </c>
      <c r="E12" s="5" t="inlineStr">
        <is>
          <t>read</t>
        </is>
      </c>
      <c r="F12" s="12" t="n"/>
      <c r="G12" s="19" t="inlineStr">
        <is>
          <t>Own weekly scrape; asking and net effective stated separately.</t>
        </is>
      </c>
    </row>
    <row r="13">
      <c r="A13" s="21"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9" t="inlineStr">
        <is>
          <t>Tier 1 = the closest 5 matching product and vintage; tier 2 = the next 15; everything else is tier 3, identity only. An unknown year does not disqualify — it is disclosed on the tier header instead.</t>
        </is>
      </c>
    </row>
    <row r="14">
      <c r="A14" s="21" t="inlineStr">
        <is>
          <t>demand.rings</t>
        </is>
      </c>
      <c r="B14" s="5" t="inlineStr">
        <is>
          <t>5 entries</t>
        </is>
      </c>
      <c r="C14" s="5" t="inlineStr">
        <is>
          <t>Synthetic public data extract</t>
        </is>
      </c>
      <c r="D14" s="5" t="inlineStr">
        <is>
          <t>—</t>
        </is>
      </c>
      <c r="E14" s="5" t="inlineStr">
        <is>
          <t>read</t>
        </is>
      </c>
      <c r="F14" s="12" t="n"/>
      <c r="G14" s="19" t="inlineStr">
        <is>
          <t>Ring demographics.</t>
        </is>
      </c>
    </row>
    <row r="15">
      <c r="A15" s="21" t="inlineStr">
        <is>
          <t>pricing.price_per_unit</t>
        </is>
      </c>
      <c r="B15" s="5" t="inlineStr">
        <is>
          <t>215,000</t>
        </is>
      </c>
      <c r="C15" s="5" t="inlineStr">
        <is>
          <t>Supplied by the operator</t>
        </is>
      </c>
      <c r="D15" s="5" t="inlineStr">
        <is>
          <t>—</t>
        </is>
      </c>
      <c r="E15" s="5" t="inlineStr">
        <is>
          <t>read</t>
        </is>
      </c>
      <c r="F15" s="12" t="n"/>
      <c r="G15" s="19" t="inlineStr">
        <is>
          <t>Illustrative. Inside the band a per-unit sale price occupies.</t>
        </is>
      </c>
    </row>
    <row r="16">
      <c r="A16" s="21" t="inlineStr">
        <is>
          <t>pricing.unit_count</t>
        </is>
      </c>
      <c r="B16" s="5" t="inlineStr">
        <is>
          <t>180</t>
        </is>
      </c>
      <c r="C16" s="5" t="inlineStr">
        <is>
          <t>Synthetic rent roll export</t>
        </is>
      </c>
      <c r="D16" s="5" t="inlineStr">
        <is>
          <t>Rent Roll!A:A</t>
        </is>
      </c>
      <c r="E16" s="5" t="inlineStr">
        <is>
          <t>derived</t>
        </is>
      </c>
      <c r="F16" s="5" t="inlineStr">
        <is>
          <t>summary.unit_count</t>
        </is>
      </c>
      <c r="G16" s="22" t="n"/>
    </row>
    <row r="17">
      <c r="A17" s="21" t="inlineStr">
        <is>
          <t>summary.assessed_value_basis</t>
        </is>
      </c>
      <c r="B17" s="5" t="inlineStr">
        <is>
          <t>23,000,000</t>
        </is>
      </c>
      <c r="C17" s="5" t="inlineStr">
        <is>
          <t>Synthetic county tax record</t>
        </is>
      </c>
      <c r="D17" s="5" t="inlineStr">
        <is>
          <t>Valuation notice</t>
        </is>
      </c>
      <c r="E17" s="5" t="inlineStr">
        <is>
          <t>read</t>
        </is>
      </c>
      <c r="F17" s="12" t="n"/>
      <c r="G17" s="22" t="n"/>
    </row>
    <row r="18">
      <c r="A18" s="21" t="inlineStr">
        <is>
          <t>summary.assessment_ratio</t>
        </is>
      </c>
      <c r="B18" s="5" t="inlineStr">
        <is>
          <t>1</t>
        </is>
      </c>
      <c r="C18" s="5" t="inlineStr">
        <is>
          <t>Synthetic county tax record</t>
        </is>
      </c>
      <c r="D18" s="5" t="inlineStr">
        <is>
          <t>Rate table</t>
        </is>
      </c>
      <c r="E18" s="5" t="inlineStr">
        <is>
          <t>read</t>
        </is>
      </c>
      <c r="F18" s="12" t="n"/>
      <c r="G18" s="22" t="n"/>
    </row>
    <row r="19">
      <c r="A19" s="21" t="inlineStr">
        <is>
          <t>summary.city</t>
        </is>
      </c>
      <c r="B19" s="5" t="inlineStr">
        <is>
          <t>Sample City</t>
        </is>
      </c>
      <c r="C19" s="5" t="inlineStr">
        <is>
          <t>Synthetic offering memorandum</t>
        </is>
      </c>
      <c r="D19" s="5" t="inlineStr">
        <is>
          <t>p.4</t>
        </is>
      </c>
      <c r="E19" s="5" t="inlineStr">
        <is>
          <t>read</t>
        </is>
      </c>
      <c r="F19" s="12" t="n"/>
      <c r="G19" s="22" t="n"/>
    </row>
    <row r="20">
      <c r="A20" s="21" t="inlineStr">
        <is>
          <t>summary.construction_status</t>
        </is>
      </c>
      <c r="B20" s="5" t="inlineStr">
        <is>
          <t>Stabilized</t>
        </is>
      </c>
      <c r="C20" s="5" t="inlineStr">
        <is>
          <t>Synthetic offering memorandum</t>
        </is>
      </c>
      <c r="D20" s="5" t="inlineStr">
        <is>
          <t>p.6</t>
        </is>
      </c>
      <c r="E20" s="5" t="inlineStr">
        <is>
          <t>read</t>
        </is>
      </c>
      <c r="F20" s="12" t="n"/>
      <c r="G20" s="22" t="n"/>
    </row>
    <row r="21">
      <c r="A21" s="21" t="inlineStr">
        <is>
          <t>summary.county</t>
        </is>
      </c>
      <c r="B21" s="5" t="inlineStr">
        <is>
          <t>Example County</t>
        </is>
      </c>
      <c r="C21" s="5" t="inlineStr">
        <is>
          <t>Synthetic offering memorandum</t>
        </is>
      </c>
      <c r="D21" s="5" t="inlineStr">
        <is>
          <t>p.4</t>
        </is>
      </c>
      <c r="E21" s="5" t="inlineStr">
        <is>
          <t>read</t>
        </is>
      </c>
      <c r="F21" s="12" t="n"/>
      <c r="G21" s="22" t="n"/>
    </row>
    <row r="22">
      <c r="A22" s="21" t="inlineStr">
        <is>
          <t>summary.deal_name</t>
        </is>
      </c>
      <c r="B22" s="5" t="inlineStr">
        <is>
          <t>Fixture Park</t>
        </is>
      </c>
      <c r="C22" s="5" t="inlineStr">
        <is>
          <t>Synthetic offering memorandum</t>
        </is>
      </c>
      <c r="D22" s="5" t="inlineStr">
        <is>
          <t>p.1</t>
        </is>
      </c>
      <c r="E22" s="5" t="inlineStr">
        <is>
          <t>read</t>
        </is>
      </c>
      <c r="F22" s="12" t="n"/>
      <c r="G22" s="19" t="inlineStr">
        <is>
          <t>Fixture Park</t>
        </is>
      </c>
    </row>
    <row r="23">
      <c r="A23" s="21" t="inlineStr">
        <is>
          <t>summary.deal_status</t>
        </is>
      </c>
      <c r="B23" s="5" t="inlineStr">
        <is>
          <t>On the market</t>
        </is>
      </c>
      <c r="C23" s="5" t="inlineStr">
        <is>
          <t>Synthetic offering memorandum</t>
        </is>
      </c>
      <c r="D23" s="5" t="inlineStr">
        <is>
          <t>p.2</t>
        </is>
      </c>
      <c r="E23" s="5" t="inlineStr">
        <is>
          <t>read</t>
        </is>
      </c>
      <c r="F23" s="12" t="n"/>
      <c r="G23" s="22" t="n"/>
    </row>
    <row r="24">
      <c r="A24" s="21" t="inlineStr">
        <is>
          <t>summary.delivery_date</t>
        </is>
      </c>
      <c r="B24" s="5" t="inlineStr">
        <is>
          <t>Delivered 2019; fully stabilized since 2021</t>
        </is>
      </c>
      <c r="C24" s="5" t="inlineStr">
        <is>
          <t>Synthetic offering memorandum</t>
        </is>
      </c>
      <c r="D24" s="5" t="inlineStr">
        <is>
          <t>p.6</t>
        </is>
      </c>
      <c r="E24" s="5" t="inlineStr">
        <is>
          <t>read</t>
        </is>
      </c>
      <c r="F24" s="12" t="n"/>
      <c r="G24" s="22" t="n"/>
    </row>
    <row r="25">
      <c r="A25" s="21" t="inlineStr">
        <is>
          <t>summary.fair_market_value</t>
        </is>
      </c>
      <c r="B25" s="5" t="inlineStr">
        <is>
          <t>39,600,000</t>
        </is>
      </c>
      <c r="C25" s="5" t="inlineStr">
        <is>
          <t>Supplied by the operator</t>
        </is>
      </c>
      <c r="D25" s="5" t="inlineStr">
        <is>
          <t>—</t>
        </is>
      </c>
      <c r="E25" s="5" t="inlineStr">
        <is>
          <t>read</t>
        </is>
      </c>
      <c r="F25" s="12" t="n"/>
      <c r="G25" s="19" t="inlineStr">
        <is>
          <t>Operator's own estimate.</t>
        </is>
      </c>
    </row>
    <row r="26">
      <c r="A26" s="21"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19" t="inlineStr">
        <is>
          <t>Occupied units, straight off the roll.</t>
        </is>
      </c>
    </row>
    <row r="27">
      <c r="A27" s="21"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19" t="inlineStr">
        <is>
          <t>Generic label; no firm or individual is named in a published file.</t>
        </is>
      </c>
    </row>
    <row r="28">
      <c r="A28" s="21"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19" t="inlineStr">
        <is>
          <t>New-lease average where a plan has new leases in the window, else in-place. Never a blend.</t>
        </is>
      </c>
    </row>
    <row r="29">
      <c r="A29" s="21" t="inlineStr">
        <is>
          <t>summary.msa</t>
        </is>
      </c>
      <c r="B29" s="5" t="inlineStr">
        <is>
          <t>Sample City MSA</t>
        </is>
      </c>
      <c r="C29" s="5" t="inlineStr">
        <is>
          <t>Derived by the pipeline</t>
        </is>
      </c>
      <c r="D29" s="5" t="inlineStr">
        <is>
          <t>—</t>
        </is>
      </c>
      <c r="E29" s="5" t="inlineStr">
        <is>
          <t>derived</t>
        </is>
      </c>
      <c r="F29" s="5" t="inlineStr">
        <is>
          <t>summary.city, summary.state</t>
        </is>
      </c>
      <c r="G29" s="19" t="inlineStr">
        <is>
          <t>Metro assigned from the city/state pair.</t>
        </is>
      </c>
    </row>
    <row r="30">
      <c r="A30" s="21" t="inlineStr">
        <is>
          <t>summary.pricing_guidance</t>
        </is>
      </c>
      <c r="B30" s="5" t="inlineStr">
        <is>
          <t>$215,000 per unit (illustrative)</t>
        </is>
      </c>
      <c r="C30" s="5" t="inlineStr">
        <is>
          <t>Supplied by the operator</t>
        </is>
      </c>
      <c r="D30" s="5" t="inlineStr">
        <is>
          <t>—</t>
        </is>
      </c>
      <c r="E30" s="5" t="inlineStr">
        <is>
          <t>read</t>
        </is>
      </c>
      <c r="F30" s="12" t="n"/>
      <c r="G30" s="19" t="inlineStr">
        <is>
          <t>Illustrative figure supplied directly; not a quote or an offer.</t>
        </is>
      </c>
    </row>
    <row r="31">
      <c r="A31" s="21"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2" t="n"/>
    </row>
    <row r="32">
      <c r="A32" s="21" t="inlineStr">
        <is>
          <t>summary.product_type</t>
        </is>
      </c>
      <c r="B32" s="5" t="inlineStr">
        <is>
          <t>MF</t>
        </is>
      </c>
      <c r="C32" s="5" t="inlineStr">
        <is>
          <t>Synthetic offering memorandum</t>
        </is>
      </c>
      <c r="D32" s="5" t="inlineStr">
        <is>
          <t>p.6</t>
        </is>
      </c>
      <c r="E32" s="5" t="inlineStr">
        <is>
          <t>read</t>
        </is>
      </c>
      <c r="F32" s="12" t="n"/>
      <c r="G32" s="22" t="n"/>
    </row>
    <row r="33">
      <c r="A33" s="21"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2" t="n"/>
    </row>
    <row r="34">
      <c r="A34" s="21" t="inlineStr">
        <is>
          <t>summary.school_high_name</t>
        </is>
      </c>
      <c r="B34" s="5" t="inlineStr">
        <is>
          <t>Sample City High</t>
        </is>
      </c>
      <c r="C34" s="5" t="inlineStr">
        <is>
          <t>Synthetic public data extract</t>
        </is>
      </c>
      <c r="D34" s="5" t="inlineStr">
        <is>
          <t>School attendance lookup</t>
        </is>
      </c>
      <c r="E34" s="5" t="inlineStr">
        <is>
          <t>read</t>
        </is>
      </c>
      <c r="F34" s="12" t="n"/>
      <c r="G34" s="22" t="n"/>
    </row>
    <row r="35">
      <c r="A35" s="21" t="inlineStr">
        <is>
          <t>summary.school_middle_name</t>
        </is>
      </c>
      <c r="B35" s="5" t="inlineStr">
        <is>
          <t>Example Ridge Middle</t>
        </is>
      </c>
      <c r="C35" s="5" t="inlineStr">
        <is>
          <t>Synthetic public data extract</t>
        </is>
      </c>
      <c r="D35" s="5" t="inlineStr">
        <is>
          <t>School attendance lookup</t>
        </is>
      </c>
      <c r="E35" s="5" t="inlineStr">
        <is>
          <t>read</t>
        </is>
      </c>
      <c r="F35" s="12" t="n"/>
      <c r="G35" s="22" t="n"/>
    </row>
    <row r="36">
      <c r="A36" s="21" t="inlineStr">
        <is>
          <t>summary.seller_entity</t>
        </is>
      </c>
      <c r="B36" s="5" t="inlineStr">
        <is>
          <t>Sample City Residential Holdings LLC</t>
        </is>
      </c>
      <c r="C36" s="5" t="inlineStr">
        <is>
          <t>Synthetic offering memorandum</t>
        </is>
      </c>
      <c r="D36" s="5" t="inlineStr">
        <is>
          <t>p.2</t>
        </is>
      </c>
      <c r="E36" s="5" t="inlineStr">
        <is>
          <t>read</t>
        </is>
      </c>
      <c r="F36" s="12" t="n"/>
      <c r="G36" s="22" t="n"/>
    </row>
    <row r="37">
      <c r="A37" s="21" t="inlineStr">
        <is>
          <t>summary.state</t>
        </is>
      </c>
      <c r="B37" s="5" t="inlineStr">
        <is>
          <t>TX</t>
        </is>
      </c>
      <c r="C37" s="5" t="inlineStr">
        <is>
          <t>Synthetic offering memorandum</t>
        </is>
      </c>
      <c r="D37" s="5" t="inlineStr">
        <is>
          <t>p.4</t>
        </is>
      </c>
      <c r="E37" s="5" t="inlineStr">
        <is>
          <t>read</t>
        </is>
      </c>
      <c r="F37" s="12" t="n"/>
      <c r="G37" s="22" t="n"/>
    </row>
    <row r="38">
      <c r="A38" s="21" t="inlineStr">
        <is>
          <t>summary.street_address</t>
        </is>
      </c>
      <c r="B38" s="5" t="inlineStr">
        <is>
          <t>1400 Example Parkway</t>
        </is>
      </c>
      <c r="C38" s="5" t="inlineStr">
        <is>
          <t>Synthetic offering memorandum</t>
        </is>
      </c>
      <c r="D38" s="5" t="inlineStr">
        <is>
          <t>p.4</t>
        </is>
      </c>
      <c r="E38" s="5" t="inlineStr">
        <is>
          <t>read</t>
        </is>
      </c>
      <c r="F38" s="12" t="n"/>
      <c r="G38" s="19" t="inlineStr">
        <is>
          <t>1400 Example Parkway</t>
        </is>
      </c>
    </row>
    <row r="39">
      <c r="A39" s="21" t="inlineStr">
        <is>
          <t>summary.structure</t>
        </is>
      </c>
      <c r="B39" s="5" t="inlineStr">
        <is>
          <t>Three-story garden, surface parked</t>
        </is>
      </c>
      <c r="C39" s="5" t="inlineStr">
        <is>
          <t>Synthetic offering memorandum</t>
        </is>
      </c>
      <c r="D39" s="5" t="inlineStr">
        <is>
          <t>p.6</t>
        </is>
      </c>
      <c r="E39" s="5" t="inlineStr">
        <is>
          <t>read</t>
        </is>
      </c>
      <c r="F39" s="12" t="n"/>
      <c r="G39" s="19" t="inlineStr">
        <is>
          <t>Three-story garden, surface parked</t>
        </is>
      </c>
    </row>
    <row r="40">
      <c r="A40" s="21" t="inlineStr">
        <is>
          <t>summary.tax_area_code</t>
        </is>
      </c>
      <c r="B40" s="5" t="inlineStr">
        <is>
          <t>SYN-0000</t>
        </is>
      </c>
      <c r="C40" s="5" t="inlineStr">
        <is>
          <t>Synthetic county tax record</t>
        </is>
      </c>
      <c r="D40" s="5" t="inlineStr">
        <is>
          <t>Rate table</t>
        </is>
      </c>
      <c r="E40" s="5" t="inlineStr">
        <is>
          <t>read</t>
        </is>
      </c>
      <c r="F40" s="12" t="n"/>
      <c r="G40" s="22" t="n"/>
    </row>
    <row r="41">
      <c r="A41" s="21" t="inlineStr">
        <is>
          <t>summary.tax_basis_label</t>
        </is>
      </c>
      <c r="B41" s="5" t="inlineStr">
        <is>
          <t>Assessed value (synthetic)</t>
        </is>
      </c>
      <c r="C41" s="5" t="inlineStr">
        <is>
          <t>Synthetic county tax record</t>
        </is>
      </c>
      <c r="D41" s="5" t="inlineStr">
        <is>
          <t>Valuation notice</t>
        </is>
      </c>
      <c r="E41" s="5" t="inlineStr">
        <is>
          <t>read</t>
        </is>
      </c>
      <c r="F41" s="12" t="n"/>
      <c r="G41" s="22" t="n"/>
    </row>
    <row r="42">
      <c r="A42" s="21"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2" t="n"/>
    </row>
    <row r="43">
      <c r="A43" s="21" t="inlineStr">
        <is>
          <t>summary.tax_billed_amount</t>
        </is>
      </c>
      <c r="B43" s="5" t="inlineStr">
        <is>
          <t>494,040</t>
        </is>
      </c>
      <c r="C43" s="5" t="inlineStr">
        <is>
          <t>Synthetic county tax record</t>
        </is>
      </c>
      <c r="D43" s="5" t="inlineStr">
        <is>
          <t>Tax bill</t>
        </is>
      </c>
      <c r="E43" s="5" t="inlineStr">
        <is>
          <t>read</t>
        </is>
      </c>
      <c r="F43" s="12" t="n"/>
      <c r="G43" s="22" t="n"/>
    </row>
    <row r="44">
      <c r="A44" s="21" t="inlineStr">
        <is>
          <t>summary.tax_billed_year</t>
        </is>
      </c>
      <c r="B44" s="5" t="inlineStr">
        <is>
          <t>2,025</t>
        </is>
      </c>
      <c r="C44" s="5" t="inlineStr">
        <is>
          <t>Synthetic county tax record</t>
        </is>
      </c>
      <c r="D44" s="5" t="inlineStr">
        <is>
          <t>Tax bill</t>
        </is>
      </c>
      <c r="E44" s="5" t="inlineStr">
        <is>
          <t>read</t>
        </is>
      </c>
      <c r="F44" s="12" t="n"/>
      <c r="G44" s="22" t="n"/>
    </row>
    <row r="45">
      <c r="A45" s="21" t="inlineStr">
        <is>
          <t>summary.tax_divisor</t>
        </is>
      </c>
      <c r="B45" s="5" t="inlineStr">
        <is>
          <t>100</t>
        </is>
      </c>
      <c r="C45" s="5" t="inlineStr">
        <is>
          <t>Synthetic county tax record</t>
        </is>
      </c>
      <c r="D45" s="5" t="inlineStr">
        <is>
          <t>Rate table</t>
        </is>
      </c>
      <c r="E45" s="5" t="inlineStr">
        <is>
          <t>read</t>
        </is>
      </c>
      <c r="F45" s="12" t="n"/>
      <c r="G45" s="22" t="n"/>
    </row>
    <row r="46">
      <c r="A46" s="21" t="inlineStr">
        <is>
          <t>summary.tax_exemption</t>
        </is>
      </c>
      <c r="B46" s="5" t="inlineStr">
        <is>
          <t>0</t>
        </is>
      </c>
      <c r="C46" s="5" t="inlineStr">
        <is>
          <t>Synthetic county tax record</t>
        </is>
      </c>
      <c r="D46" s="5" t="inlineStr">
        <is>
          <t>Valuation notice</t>
        </is>
      </c>
      <c r="E46" s="5" t="inlineStr">
        <is>
          <t>read</t>
        </is>
      </c>
      <c r="F46" s="12" t="n"/>
      <c r="G46" s="22" t="n"/>
    </row>
    <row r="47">
      <c r="A47" s="21" t="inlineStr">
        <is>
          <t>summary.tax_parcel_id</t>
        </is>
      </c>
      <c r="B47" s="5" t="inlineStr">
        <is>
          <t>SYN-000-00-000</t>
        </is>
      </c>
      <c r="C47" s="5" t="inlineStr">
        <is>
          <t>Synthetic county tax record</t>
        </is>
      </c>
      <c r="D47" s="5" t="inlineStr">
        <is>
          <t>Parcel record</t>
        </is>
      </c>
      <c r="E47" s="5" t="inlineStr">
        <is>
          <t>read</t>
        </is>
      </c>
      <c r="F47" s="12" t="n"/>
      <c r="G47" s="22" t="n"/>
    </row>
    <row r="48">
      <c r="A48" s="21" t="inlineStr">
        <is>
          <t>summary.tax_rate_as_billed</t>
        </is>
      </c>
      <c r="B48" s="5" t="inlineStr">
        <is>
          <t>2.15</t>
        </is>
      </c>
      <c r="C48" s="5" t="inlineStr">
        <is>
          <t>Synthetic county tax record</t>
        </is>
      </c>
      <c r="D48" s="5" t="inlineStr">
        <is>
          <t>Rate table, synthetic district</t>
        </is>
      </c>
      <c r="E48" s="5" t="inlineStr">
        <is>
          <t>read</t>
        </is>
      </c>
      <c r="F48" s="12" t="n"/>
      <c r="G48" s="22" t="n"/>
    </row>
    <row r="49">
      <c r="A49" s="21" t="inlineStr">
        <is>
          <t>summary.unit_count</t>
        </is>
      </c>
      <c r="B49" s="5" t="inlineStr">
        <is>
          <t>180</t>
        </is>
      </c>
      <c r="C49" s="5" t="inlineStr">
        <is>
          <t>Synthetic rent roll export</t>
        </is>
      </c>
      <c r="D49" s="5" t="inlineStr">
        <is>
          <t>Rent Roll!A:A</t>
        </is>
      </c>
      <c r="E49" s="5" t="inlineStr">
        <is>
          <t>derived</t>
        </is>
      </c>
      <c r="F49" s="5" t="inlineStr">
        <is>
          <t>rent_roll.units</t>
        </is>
      </c>
      <c r="G49" s="19" t="inlineStr">
        <is>
          <t>Distinct unit identifiers on the roll.</t>
        </is>
      </c>
    </row>
    <row r="50">
      <c r="A50" s="21" t="inlineStr">
        <is>
          <t>summary.year_built</t>
        </is>
      </c>
      <c r="B50" s="5" t="inlineStr">
        <is>
          <t>2,019</t>
        </is>
      </c>
      <c r="C50" s="5" t="inlineStr">
        <is>
          <t>Synthetic offering memorandum</t>
        </is>
      </c>
      <c r="D50" s="5" t="inlineStr">
        <is>
          <t>p.6</t>
        </is>
      </c>
      <c r="E50" s="5" t="inlineStr">
        <is>
          <t>read</t>
        </is>
      </c>
      <c r="F50" s="12" t="n"/>
      <c r="G50" s="22" t="n"/>
    </row>
    <row r="51">
      <c r="A51" s="21" t="inlineStr">
        <is>
          <t>summary.zip</t>
        </is>
      </c>
      <c r="B51" s="5" t="inlineStr">
        <is>
          <t>75000</t>
        </is>
      </c>
      <c r="C51" s="5" t="inlineStr">
        <is>
          <t>Synthetic offering memorandum</t>
        </is>
      </c>
      <c r="D51" s="5" t="inlineStr">
        <is>
          <t>p.4</t>
        </is>
      </c>
      <c r="E51" s="5" t="inlineStr">
        <is>
          <t>read</t>
        </is>
      </c>
      <c r="F51" s="12" t="n"/>
      <c r="G51" s="22" t="n"/>
    </row>
    <row r="52">
      <c r="A52" s="21" t="inlineStr">
        <is>
          <t>supply.rings</t>
        </is>
      </c>
      <c r="B52" s="5" t="inlineStr">
        <is>
          <t>12 entries</t>
        </is>
      </c>
      <c r="C52" s="5" t="inlineStr">
        <is>
          <t>Synthetic public data extract</t>
        </is>
      </c>
      <c r="D52" s="5" t="inlineStr">
        <is>
          <t>—</t>
        </is>
      </c>
      <c r="E52" s="5" t="inlineStr">
        <is>
          <t>read</t>
        </is>
      </c>
      <c r="F52" s="12" t="n"/>
      <c r="G52" s="19"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