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al Summary" sheetId="1" state="visible" r:id="rId1"/>
    <sheet name="Rent Comps" sheetId="2" state="visible" r:id="rId2"/>
    <sheet name="Demand" sheetId="3" state="visible" r:id="rId3"/>
    <sheet name="Supp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0" pivotButton="0" quotePrefix="0" xfId="0"/>
    <xf numFmtId="49" fontId="4" fillId="0" borderId="0" pivotButton="0" quotePrefix="0" xfId="0"/>
    <xf numFmtId="0" fontId="2" fillId="0" borderId="0" applyAlignment="1" pivotButton="0" quotePrefix="0" xfId="0">
      <alignment vertical="top" wrapText="1"/>
    </xf>
    <xf numFmtId="3" fontId="4" fillId="0" borderId="0" pivotButton="0" quotePrefix="0" xfId="0"/>
    <xf numFmtId="1" fontId="4" fillId="0" borderId="0" pivotButton="0" quotePrefix="0" xfId="0"/>
    <xf numFmtId="1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5" fillId="3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</cols>
  <sheetData>
    <row r="1">
      <c r="A1" s="1" t="inlineStr">
        <is>
          <t>Deal summary</t>
        </is>
      </c>
    </row>
    <row r="2">
      <c r="A2" s="2" t="inlineStr">
        <is>
          <t>505 West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Identification</t>
        </is>
      </c>
      <c r="B5" s="4" t="n"/>
      <c r="C5" s="4" t="n"/>
    </row>
    <row r="6">
      <c r="A6" s="5" t="inlineStr">
        <is>
          <t>Deal name</t>
        </is>
      </c>
      <c r="B6" s="5" t="inlineStr">
        <is>
          <t>505 West</t>
        </is>
      </c>
    </row>
    <row r="7">
      <c r="A7" s="5" t="inlineStr">
        <is>
          <t>Street address</t>
        </is>
      </c>
      <c r="B7" s="5" t="inlineStr">
        <is>
          <t>505 W Baseline Rd</t>
        </is>
      </c>
    </row>
    <row r="8">
      <c r="A8" s="5" t="inlineStr">
        <is>
          <t>City</t>
        </is>
      </c>
      <c r="B8" s="5" t="inlineStr">
        <is>
          <t>Tempe</t>
        </is>
      </c>
    </row>
    <row r="9">
      <c r="A9" s="5" t="inlineStr">
        <is>
          <t>State</t>
        </is>
      </c>
      <c r="B9" s="5" t="inlineStr">
        <is>
          <t>AZ</t>
        </is>
      </c>
    </row>
    <row r="10">
      <c r="A10" s="5" t="inlineStr">
        <is>
          <t>ZIP</t>
        </is>
      </c>
      <c r="B10" s="5" t="inlineStr">
        <is>
          <t>85283</t>
        </is>
      </c>
    </row>
    <row r="11">
      <c r="A11" s="5" t="inlineStr">
        <is>
          <t>County</t>
        </is>
      </c>
      <c r="B11" s="5" t="inlineStr">
        <is>
          <t>Maricopa</t>
        </is>
      </c>
    </row>
    <row r="12">
      <c r="A12" s="5" t="inlineStr">
        <is>
          <t>MSA</t>
        </is>
      </c>
      <c r="B12" s="5" t="inlineStr">
        <is>
          <t>Phoenix</t>
        </is>
      </c>
    </row>
    <row r="13">
      <c r="A13" s="5" t="inlineStr">
        <is>
          <t>Address resolved from</t>
        </is>
      </c>
      <c r="B13" s="5" t="inlineStr">
        <is>
          <t>Street address, city, state and ZIP read from the offering memorandum's property pages and corroborated by the per-unit addresses on the rent-roll export.</t>
        </is>
      </c>
      <c r="C13" s="6" t="inlineStr">
        <is>
          <t>How the address was resolved, and from which document.</t>
        </is>
      </c>
    </row>
    <row r="15">
      <c r="A15" s="4" t="inlineStr">
        <is>
          <t>Property</t>
        </is>
      </c>
      <c r="B15" s="4" t="n"/>
      <c r="C15" s="4" t="n"/>
    </row>
    <row r="16">
      <c r="A16" s="5" t="inlineStr">
        <is>
          <t>Product type</t>
        </is>
      </c>
      <c r="B16" s="5" t="inlineStr">
        <is>
          <t>MF</t>
        </is>
      </c>
    </row>
    <row r="17">
      <c r="A17" s="5" t="inlineStr">
        <is>
          <t>Structure</t>
        </is>
      </c>
      <c r="B17" s="5" t="inlineStr">
        <is>
          <t>Garden-style, two-story walk-up</t>
        </is>
      </c>
    </row>
    <row r="18">
      <c r="A18" s="5" t="inlineStr">
        <is>
          <t>Unit count</t>
        </is>
      </c>
      <c r="B18" s="7" t="n">
        <v>334</v>
      </c>
      <c r="C18" s="6" t="inlineStr">
        <is>
          <t>Divisor for every per-unit figure in the output set.</t>
        </is>
      </c>
    </row>
    <row r="19">
      <c r="A19" s="5" t="inlineStr">
        <is>
          <t>Year built</t>
        </is>
      </c>
      <c r="B19" s="8" t="n">
        <v>1981</v>
      </c>
    </row>
    <row r="20">
      <c r="A20" s="5" t="inlineStr">
        <is>
          <t>Product detail</t>
        </is>
      </c>
      <c r="B20" s="5" t="inlineStr">
        <is>
          <t>334 units across ten floor plans: 163 one-bedroom (720 SF), 159 two-bedroom (846-1,006 SF) and 12 three-bedroom (1,282-1,444 SF). Roughly 44% of units carry a renovated interior finish, denoted by the R suffix on the plan code.</t>
        </is>
      </c>
    </row>
    <row r="21">
      <c r="A21" s="5" t="inlineStr">
        <is>
          <t>Construction status</t>
        </is>
      </c>
      <c r="B21" s="5" t="inlineStr">
        <is>
          <t>Stabilized</t>
        </is>
      </c>
    </row>
    <row r="22">
      <c r="A22" s="5" t="inlineStr">
        <is>
          <t>Delivery / CO date</t>
        </is>
      </c>
      <c r="B22" s="5" t="inlineStr">
        <is>
          <t>Delivered 1981; stabilized operations</t>
        </is>
      </c>
    </row>
    <row r="24">
      <c r="A24" s="4" t="inlineStr">
        <is>
          <t>Parties</t>
        </is>
      </c>
      <c r="B24" s="4" t="n"/>
      <c r="C24" s="4" t="n"/>
    </row>
    <row r="25">
      <c r="A25" s="5" t="inlineStr">
        <is>
          <t>Seller entity</t>
        </is>
      </c>
      <c r="B25" s="5" t="inlineStr">
        <is>
          <t>Institutional owner-operator (name withheld)</t>
        </is>
      </c>
    </row>
    <row r="26">
      <c r="A26" s="5" t="inlineStr">
        <is>
          <t>Listing brokerage</t>
        </is>
      </c>
      <c r="B26" s="5" t="inlineStr">
        <is>
          <t>Listing brokerage</t>
        </is>
      </c>
    </row>
    <row r="27">
      <c r="A27" s="5" t="inlineStr">
        <is>
          <t>Deal status</t>
        </is>
      </c>
      <c r="B27" s="5" t="inlineStr">
        <is>
          <t>Previously marketed; call for offers has passed</t>
        </is>
      </c>
    </row>
    <row r="29">
      <c r="A29" s="4" t="inlineStr">
        <is>
          <t>Pricing (illustrative)</t>
        </is>
      </c>
      <c r="B29" s="4" t="n"/>
      <c r="C29" s="4" t="n"/>
    </row>
    <row r="30">
      <c r="A30" s="5" t="inlineStr">
        <is>
          <t>Pricing guidance</t>
        </is>
      </c>
      <c r="B30" s="5" t="inlineStr">
        <is>
          <t>$180,000 per unit (illustrative)</t>
        </is>
      </c>
    </row>
    <row r="31">
      <c r="A31" s="5" t="inlineStr">
        <is>
          <t>Price per unit (illustrative)</t>
        </is>
      </c>
      <c r="B31" s="7" t="n">
        <v>180000</v>
      </c>
      <c r="C31" s="6" t="inlineStr">
        <is>
          <t>Illustrative pricing. $180,000 per unit is a round figure chosen inside the band a real per-unit sale price occupies, set so the resulting cap rate sits within 150 basis points of the level the trailing-twelve income supports. The guidance this deal was actually marketed at is not reproduced anywhere in this output set.</t>
        </is>
      </c>
    </row>
    <row r="32">
      <c r="A32" s="5" t="inlineStr">
        <is>
          <t>Total price (illustrative)</t>
        </is>
      </c>
      <c r="B32" s="7">
        <f>B31*B18</f>
        <v/>
      </c>
      <c r="C32" s="6" t="inlineStr">
        <is>
          <t>Price per unit times unit count.</t>
        </is>
      </c>
    </row>
    <row r="33">
      <c r="A33" s="5" t="inlineStr">
        <is>
          <t>Approximate project value (illustrative)</t>
        </is>
      </c>
      <c r="B33" s="7">
        <f>B32</f>
        <v/>
      </c>
    </row>
    <row r="34">
      <c r="A34" s="5" t="inlineStr">
        <is>
          <t>T-12 net operating income</t>
        </is>
      </c>
      <c r="B34" s="7" t="n">
        <v>3442992.6</v>
      </c>
      <c r="C34" s="6" t="inlineStr">
        <is>
          <t>From the T-12 analysis workbook's P&amp;L rollup.</t>
        </is>
      </c>
    </row>
    <row r="35">
      <c r="A35" s="5" t="inlineStr">
        <is>
          <t>T-12 cap rate (illustrative)</t>
        </is>
      </c>
      <c r="B35" s="9">
        <f>IFERROR(B34/B32,"")</f>
        <v/>
      </c>
    </row>
    <row r="36">
      <c r="A36" s="5" t="inlineStr">
        <is>
          <t>T-3 net operating income (annualized)</t>
        </is>
      </c>
      <c r="B36" s="7" t="n">
        <v>3477889.64</v>
      </c>
      <c r="C36" s="6" t="inlineStr">
        <is>
          <t>Trailing three months times four.</t>
        </is>
      </c>
    </row>
    <row r="37">
      <c r="A37" s="5" t="inlineStr">
        <is>
          <t>T-3 cap rate (illustrative)</t>
        </is>
      </c>
      <c r="B37" s="9">
        <f>IFERROR(B36/B32,"")</f>
        <v/>
      </c>
    </row>
    <row r="39">
      <c r="A39" s="4" t="inlineStr">
        <is>
          <t>Rents</t>
        </is>
      </c>
      <c r="B39" s="4" t="n"/>
      <c r="C39" s="4" t="n"/>
    </row>
    <row r="40">
      <c r="A40" s="5" t="inlineStr">
        <is>
          <t>In-place rent (avg)</t>
        </is>
      </c>
      <c r="B40" s="7" t="n">
        <v>1387.62</v>
      </c>
    </row>
    <row r="41">
      <c r="A41" s="5" t="inlineStr">
        <is>
          <t>Market rent for model</t>
        </is>
      </c>
      <c r="B41" s="7" t="n">
        <v>1284.44</v>
      </c>
      <c r="C41" s="6" t="inlineStr">
        <is>
          <t>New-lease average where the plan has new leases in the lookback window, otherwise in-place. Never a blend of new and renewal.</t>
        </is>
      </c>
    </row>
    <row r="42">
      <c r="A42" s="5" t="inlineStr">
        <is>
          <t>Fair market value</t>
        </is>
      </c>
      <c r="B42" s="5" t="inlineStr">
        <is>
          <t>MISSING</t>
        </is>
      </c>
    </row>
    <row r="44">
      <c r="A44" s="4" t="inlineStr">
        <is>
          <t>Taxes</t>
        </is>
      </c>
      <c r="B44" s="4" t="n"/>
      <c r="C44" s="4" t="n"/>
    </row>
    <row r="45">
      <c r="A45" s="5" t="inlineStr">
        <is>
          <t>Tax rate as billed</t>
        </is>
      </c>
      <c r="B45" s="10" t="n">
        <v>9.638199999999999</v>
      </c>
      <c r="C45" s="6" t="inlineStr">
        <is>
          <t>Rate as actually billed — not a statutory or effective rate.</t>
        </is>
      </c>
    </row>
    <row r="46">
      <c r="A46" s="5" t="inlineStr">
        <is>
          <t>Assessed value basis</t>
        </is>
      </c>
      <c r="B46" s="7" t="n">
        <v>17450000</v>
      </c>
    </row>
    <row r="47">
      <c r="A47" s="5" t="inlineStr">
        <is>
          <t>Assessment ratio</t>
        </is>
      </c>
      <c r="B47" s="11" t="n">
        <v>0.15</v>
      </c>
    </row>
    <row r="48">
      <c r="A48" s="5" t="inlineStr">
        <is>
          <t>Tax divisor</t>
        </is>
      </c>
      <c r="B48" s="7" t="n">
        <v>100</v>
      </c>
    </row>
    <row r="49">
      <c r="A49" s="5" t="inlineStr">
        <is>
          <t>Tax exemption</t>
        </is>
      </c>
      <c r="B49" s="7" t="n">
        <v>0</v>
      </c>
    </row>
    <row r="50">
      <c r="A50" s="5" t="inlineStr">
        <is>
          <t>Computed annual tax</t>
        </is>
      </c>
      <c r="B50" s="7">
        <f>IFERROR(B46*B47/B48*B45-B49,"MISSING")</f>
        <v/>
      </c>
      <c r="C50" s="6" t="inlineStr">
        <is>
          <t>2025 published Maricopa County rate for tax area code 031600, 9.6382 per $100 of assessed value, applied to the limited property value at Arizona's 15% commercial assessment ratio. Under Proposition 117 the limited value does not reset on sale, so a buyer inherits the seller's basis rather than being reassessed at the purchase price.</t>
        </is>
      </c>
    </row>
    <row r="51">
      <c r="A51" s="5" t="inlineStr">
        <is>
          <t>Computed tax per unit</t>
        </is>
      </c>
      <c r="B51" s="7">
        <f>IFERROR(B50/B18,"MISSING")</f>
        <v/>
      </c>
    </row>
    <row r="53">
      <c r="A53" s="4" t="inlineStr">
        <is>
          <t>Schools</t>
        </is>
      </c>
      <c r="B53" s="4" t="n"/>
      <c r="C53" s="4" t="n"/>
    </row>
    <row r="54">
      <c r="A54" s="5" t="inlineStr">
        <is>
          <t>Elementary school</t>
        </is>
      </c>
      <c r="B54" s="5" t="inlineStr">
        <is>
          <t>Kyrene de los Ninos Elementary</t>
        </is>
      </c>
    </row>
    <row r="55">
      <c r="A55" s="5" t="inlineStr">
        <is>
          <t>Elementary rating</t>
        </is>
      </c>
      <c r="B55" s="8" t="n">
        <v>6</v>
      </c>
    </row>
    <row r="56">
      <c r="A56" s="5" t="inlineStr">
        <is>
          <t>Middle school</t>
        </is>
      </c>
      <c r="B56" s="5" t="inlineStr">
        <is>
          <t>Kyrene Middle School</t>
        </is>
      </c>
    </row>
    <row r="57">
      <c r="A57" s="5" t="inlineStr">
        <is>
          <t>Middle rating</t>
        </is>
      </c>
      <c r="B57" s="8" t="n">
        <v>7</v>
      </c>
    </row>
    <row r="58">
      <c r="A58" s="5" t="inlineStr">
        <is>
          <t>High school</t>
        </is>
      </c>
      <c r="B58" s="5" t="inlineStr">
        <is>
          <t>Marcos de Niza High School</t>
        </is>
      </c>
    </row>
    <row r="59">
      <c r="A59" s="5" t="inlineStr">
        <is>
          <t>High rating</t>
        </is>
      </c>
      <c r="B59" s="8" t="n">
        <v>5</v>
      </c>
    </row>
    <row r="61">
      <c r="A61" s="4" t="inlineStr">
        <is>
          <t>Notes</t>
        </is>
      </c>
      <c r="B61" s="4" t="n"/>
      <c r="C61" s="4" t="n"/>
    </row>
    <row r="62">
      <c r="A62" s="5" t="inlineStr">
        <is>
          <t>Notes</t>
        </is>
      </c>
      <c r="B62" s="5" t="inlineStr">
        <is>
          <t>Previously marketed multifamily community. Every price and cap rate in this output set is illustrative and labelled as such; the guidance the deal was actually marketed at appears nowhere in it. Formats are rebuilt generics, not any employer's template. No licensed data source was used.</t>
        </is>
      </c>
    </row>
    <row r="64">
      <c r="A64" s="4" t="inlineStr">
        <is>
          <t>Boundaries</t>
        </is>
      </c>
      <c r="B64" s="4" t="n"/>
      <c r="C64" s="4" t="n"/>
    </row>
    <row r="65">
      <c r="A65" s="12" t="inlineStr">
        <is>
          <t>Excluded by design</t>
        </is>
      </c>
      <c r="B65" t="inlineStr">
        <is>
          <t>Third-party licensed rent-comp feeds</t>
        </is>
      </c>
    </row>
    <row r="66">
      <c r="A66" s="12" t="inlineStr">
        <is>
          <t>Excluded by design</t>
        </is>
      </c>
      <c r="B66" t="inlineStr">
        <is>
          <t>Subscription market-data providers</t>
        </is>
      </c>
    </row>
    <row r="67">
      <c r="A67" s="12" t="inlineStr">
        <is>
          <t>Excluded by design</t>
        </is>
      </c>
      <c r="B67" t="inlineStr">
        <is>
          <t>The lease trade-out report (available but deliberately not used)</t>
        </is>
      </c>
    </row>
    <row r="68">
      <c r="A68" s="12" t="inlineStr">
        <is>
          <t>Excluded by design</t>
        </is>
      </c>
      <c r="B68" t="inlineStr">
        <is>
          <t>Any employer-owned analysis, model, or template of this deal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Rent comps</t>
        </is>
      </c>
    </row>
    <row r="2">
      <c r="A2" s="2" t="inlineStr">
        <is>
          <t>505 West — as of 2026-08-04</t>
        </is>
      </c>
    </row>
    <row r="3">
      <c r="A3" s="2" t="inlineStr">
        <is>
          <t>Source: the operator's own weekly rent scrape. Asking and net effective are stated separately on every row — a concession-blind comp set is the most common way a rent assumption goes wrong. No licensed comp feed is used.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2" t="inlineStr">
        <is>
          <t>No comparable rent data</t>
        </is>
      </c>
    </row>
    <row r="6">
      <c r="A6" t="inlineStr">
        <is>
          <t>The operator's own weekly rent scrape holds 95 communities within three miles of the site, 92 of them multifamily, but no successful rent observation for any of them — the market has identity coverage only. Licensed comp feeds are excluded by design, so this block is empty rather than padded from another source.</t>
        </is>
      </c>
    </row>
    <row r="8">
      <c r="A8" s="2" t="inlineStr">
        <is>
          <t>An empty block that says why it is empty is a deliverable. A block of plausible numbers is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Demand</t>
        </is>
      </c>
    </row>
    <row r="2">
      <c r="A2" s="2" t="inlineStr">
        <is>
          <t>505 West — as of 2026-06-30</t>
        </is>
      </c>
    </row>
    <row r="3">
      <c r="A3" s="2" t="inlineStr">
        <is>
          <t>Summary table by drive-ring. Public demographic data.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2" t="inlineStr">
        <is>
          <t>No demographic data</t>
        </is>
      </c>
    </row>
    <row r="6">
      <c r="A6" t="inlineStr">
        <is>
          <t>Ring demographics come from a separate service that was not run for this output set, so no population, household, income or jobs figures are reproduced here rather than estimated.</t>
        </is>
      </c>
    </row>
    <row r="8">
      <c r="A8" s="2" t="inlineStr">
        <is>
          <t>An empty block that says why it is empty is a deliverable. A block of plausible numbers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6" customWidth="1" min="2" max="2"/>
    <col width="16" customWidth="1" min="3" max="3"/>
    <col width="22" customWidth="1" min="4" max="4"/>
  </cols>
  <sheetData>
    <row r="1">
      <c r="A1" s="1" t="inlineStr">
        <is>
          <t>Competing supply</t>
        </is>
      </c>
    </row>
    <row r="2">
      <c r="A2" s="2" t="inlineStr">
        <is>
          <t>505 West — as of 2026-06-30</t>
        </is>
      </c>
    </row>
    <row r="3">
      <c r="A3" s="2" t="inlineStr">
        <is>
          <t>Pipeline projects by ring and stage. Stage is stated because entitled units and delivered units are not the same risk. Public permit records.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3" t="inlineStr">
        <is>
          <t>Ring</t>
        </is>
      </c>
      <c r="B5" s="13" t="inlineStr">
        <is>
          <t>Stage</t>
        </is>
      </c>
      <c r="C5" s="13" t="inlineStr">
        <is>
          <t>Projects</t>
        </is>
      </c>
      <c r="D5" s="13" t="inlineStr">
        <is>
          <t>Units</t>
        </is>
      </c>
    </row>
    <row r="6">
      <c r="A6" s="5" t="inlineStr">
        <is>
          <t>1 mi</t>
        </is>
      </c>
      <c r="B6" s="5" t="inlineStr">
        <is>
          <t>Entitlement</t>
        </is>
      </c>
      <c r="C6" s="7" t="n">
        <v>0</v>
      </c>
      <c r="D6" s="7" t="n">
        <v>0</v>
      </c>
    </row>
    <row r="7">
      <c r="A7" s="5" t="inlineStr">
        <is>
          <t>1 mi</t>
        </is>
      </c>
      <c r="B7" s="5" t="inlineStr">
        <is>
          <t>Permitted</t>
        </is>
      </c>
      <c r="C7" s="7" t="n">
        <v>0</v>
      </c>
      <c r="D7" s="7" t="n">
        <v>0</v>
      </c>
    </row>
    <row r="8">
      <c r="A8" s="5" t="inlineStr">
        <is>
          <t>3 mi</t>
        </is>
      </c>
      <c r="B8" s="5" t="inlineStr">
        <is>
          <t>Entitlement</t>
        </is>
      </c>
      <c r="C8" s="7" t="n">
        <v>0</v>
      </c>
      <c r="D8" s="7" t="n">
        <v>0</v>
      </c>
    </row>
    <row r="9">
      <c r="A9" s="5" t="inlineStr">
        <is>
          <t>3 mi</t>
        </is>
      </c>
      <c r="B9" s="5" t="inlineStr">
        <is>
          <t>Permitted</t>
        </is>
      </c>
      <c r="C9" s="7" t="n">
        <v>0</v>
      </c>
      <c r="D9" s="7" t="n">
        <v>0</v>
      </c>
    </row>
    <row r="10">
      <c r="A10" s="5" t="inlineStr">
        <is>
          <t>5 mi</t>
        </is>
      </c>
      <c r="B10" s="5" t="inlineStr">
        <is>
          <t>Entitlement</t>
        </is>
      </c>
      <c r="C10" s="7" t="n">
        <v>1</v>
      </c>
      <c r="D10" s="7" t="n">
        <v>200</v>
      </c>
    </row>
    <row r="11">
      <c r="A11" s="5" t="inlineStr">
        <is>
          <t>5 mi</t>
        </is>
      </c>
      <c r="B11" s="5" t="inlineStr">
        <is>
          <t>Permitted</t>
        </is>
      </c>
      <c r="C11" s="7" t="n">
        <v>4</v>
      </c>
      <c r="D11" s="7" t="n">
        <v>1330</v>
      </c>
    </row>
    <row r="12">
      <c r="A12" s="5" t="inlineStr">
        <is>
          <t>10 mi</t>
        </is>
      </c>
      <c r="B12" s="5" t="inlineStr">
        <is>
          <t>Entitlement</t>
        </is>
      </c>
      <c r="C12" s="7" t="n">
        <v>5</v>
      </c>
      <c r="D12" s="7" t="n">
        <v>0</v>
      </c>
    </row>
    <row r="13">
      <c r="A13" s="5" t="inlineStr">
        <is>
          <t>10 mi</t>
        </is>
      </c>
      <c r="B13" s="5" t="inlineStr">
        <is>
          <t>Permitted</t>
        </is>
      </c>
      <c r="C13" s="7" t="n">
        <v>33</v>
      </c>
      <c r="D13" s="7" t="n">
        <v>4545</v>
      </c>
    </row>
    <row r="14"/>
    <row r="15">
      <c r="A15" s="4" t="inlineStr">
        <is>
          <t>Ring totals</t>
        </is>
      </c>
      <c r="B15" s="4" t="n"/>
      <c r="C15" s="4" t="n"/>
      <c r="D15" s="4" t="n"/>
    </row>
    <row r="16">
      <c r="A16" s="13" t="inlineStr">
        <is>
          <t>Ring</t>
        </is>
      </c>
      <c r="B16" s="13" t="inlineStr">
        <is>
          <t>Pipeline units</t>
        </is>
      </c>
      <c r="C16" s="13" t="inlineStr">
        <is>
          <t>Existing stock</t>
        </is>
      </c>
      <c r="D16" s="13" t="inlineStr">
        <is>
          <t>Units as % of stock</t>
        </is>
      </c>
    </row>
    <row r="17">
      <c r="A17" s="5" t="inlineStr">
        <is>
          <t>1 mi</t>
        </is>
      </c>
      <c r="B17" s="7">
        <f>SUMIF($A$6:$A$13,$A17,$D$6:$D$13)</f>
        <v/>
      </c>
      <c r="C17" s="5" t="inlineStr">
        <is>
          <t>MISSING</t>
        </is>
      </c>
      <c r="D17" s="11">
        <f>IFERROR(B17/C17,"")</f>
        <v/>
      </c>
    </row>
    <row r="18">
      <c r="A18" s="5" t="inlineStr">
        <is>
          <t>3 mi</t>
        </is>
      </c>
      <c r="B18" s="7">
        <f>SUMIF($A$6:$A$13,$A18,$D$6:$D$13)</f>
        <v/>
      </c>
      <c r="C18" s="5" t="inlineStr">
        <is>
          <t>MISSING</t>
        </is>
      </c>
      <c r="D18" s="11">
        <f>IFERROR(B18/C18,"")</f>
        <v/>
      </c>
    </row>
    <row r="19">
      <c r="A19" s="5" t="inlineStr">
        <is>
          <t>5 mi</t>
        </is>
      </c>
      <c r="B19" s="7">
        <f>SUMIF($A$6:$A$13,$A19,$D$6:$D$13)</f>
        <v/>
      </c>
      <c r="C19" s="5" t="inlineStr">
        <is>
          <t>MISSING</t>
        </is>
      </c>
      <c r="D19" s="11">
        <f>IFERROR(B19/C19,"")</f>
        <v/>
      </c>
    </row>
    <row r="20">
      <c r="A20" s="5" t="inlineStr">
        <is>
          <t>10 mi</t>
        </is>
      </c>
      <c r="B20" s="7">
        <f>SUMIF($A$6:$A$13,$A20,$D$6:$D$13)</f>
        <v/>
      </c>
      <c r="C20" s="5" t="inlineStr">
        <is>
          <t>MISSING</t>
        </is>
      </c>
      <c r="D20" s="11">
        <f>IFERROR(B20/C20,"")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