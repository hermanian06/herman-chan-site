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eal Summary" sheetId="1" state="visible" r:id="rId1"/>
    <sheet name="Rent Comps" sheetId="2" state="visible" r:id="rId2"/>
    <sheet name="Property Tax" sheetId="3" state="visible" r:id="rId3"/>
    <sheet name="Demand" sheetId="4" state="visible" r:id="rId4"/>
    <sheet name="Supply" sheetId="5" state="visible" r:id="rId5"/>
    <sheet name="Notes &amp; Disclosures" sheetId="6" state="visible" r:id="rId6"/>
    <sheet name="Audit Trail" sheetId="7" state="visible" r:id="rId7"/>
  </sheets>
  <definedNames/>
  <calcPr calcId="124519" fullCalcOnLoad="1"/>
</workbook>
</file>

<file path=xl/styles.xml><?xml version="1.0" encoding="utf-8"?>
<styleSheet xmlns="http://schemas.openxmlformats.org/spreadsheetml/2006/main">
  <numFmts count="6">
    <numFmt numFmtId="164" formatCode="#,##0.0"/>
    <numFmt numFmtId="165" formatCode="0.0%"/>
    <numFmt numFmtId="166" formatCode="0.0"/>
    <numFmt numFmtId="167" formatCode="yyyy-mm-dd"/>
    <numFmt numFmtId="168" formatCode="mm/dd/yyyy"/>
    <numFmt numFmtId="169" formatCode="0.00&quot;x&quot;"/>
  </numFmts>
  <fonts count="7">
    <font>
      <name val="Calibri"/>
      <family val="2"/>
      <color theme="1"/>
      <sz val="11"/>
      <scheme val="minor"/>
    </font>
    <font>
      <name val="Calibri"/>
      <b val="1"/>
      <sz val="14"/>
    </font>
    <font>
      <name val="Calibri"/>
      <i val="1"/>
      <color rgb="00595959"/>
      <sz val="10"/>
    </font>
    <font>
      <name val="Calibri"/>
      <b val="1"/>
      <color rgb="00FFFFFF"/>
      <sz val="11"/>
    </font>
    <font>
      <name val="Calibri"/>
      <sz val="11"/>
    </font>
    <font>
      <name val="Calibri"/>
      <b val="1"/>
      <sz val="11"/>
    </font>
    <font>
      <name val="Calibri"/>
      <sz val="10"/>
    </font>
  </fonts>
  <fills count="5">
    <fill>
      <patternFill/>
    </fill>
    <fill>
      <patternFill patternType="gray125"/>
    </fill>
    <fill>
      <patternFill patternType="solid">
        <fgColor rgb="00595959"/>
      </patternFill>
    </fill>
    <fill>
      <patternFill patternType="solid">
        <fgColor rgb="00D9D9D9"/>
      </patternFill>
    </fill>
    <fill>
      <patternFill patternType="solid">
        <fgColor rgb="00F2F2F2"/>
      </patternFill>
    </fill>
  </fills>
  <borders count="3">
    <border>
      <left/>
      <right/>
      <top/>
      <bottom/>
      <diagonal/>
    </border>
    <border>
      <bottom style="medium">
        <color rgb="00808080"/>
      </bottom>
    </border>
    <border>
      <left style="thin">
        <color rgb="00BFBFBF"/>
      </left>
      <right style="thin">
        <color rgb="00BFBFBF"/>
      </right>
      <top style="thin">
        <color rgb="00BFBFBF"/>
      </top>
      <bottom style="thin">
        <color rgb="00BFBFBF"/>
      </bottom>
    </border>
  </borders>
  <cellStyleXfs count="1">
    <xf numFmtId="0" fontId="0" fillId="0" borderId="0"/>
  </cellStyleXfs>
  <cellXfs count="27">
    <xf numFmtId="0" fontId="0" fillId="0" borderId="0" pivotButton="0" quotePrefix="0" xfId="0"/>
    <xf numFmtId="0" fontId="1" fillId="0" borderId="0" pivotButton="0" quotePrefix="0" xfId="0"/>
    <xf numFmtId="0" fontId="2" fillId="0" borderId="0" pivotButton="0" quotePrefix="0" xfId="0"/>
    <xf numFmtId="0" fontId="0" fillId="0" borderId="1" pivotButton="0" quotePrefix="0" xfId="0"/>
    <xf numFmtId="0" fontId="3" fillId="2" borderId="0" pivotButton="0" quotePrefix="0" xfId="0"/>
    <xf numFmtId="49" fontId="4" fillId="0" borderId="0" pivotButton="0" quotePrefix="0" xfId="0"/>
    <xf numFmtId="0" fontId="2" fillId="0" borderId="0" applyAlignment="1" pivotButton="0" quotePrefix="0" xfId="0">
      <alignment vertical="top" wrapText="1"/>
    </xf>
    <xf numFmtId="3" fontId="4" fillId="0" borderId="0" pivotButton="0" quotePrefix="0" xfId="0"/>
    <xf numFmtId="1" fontId="4" fillId="0" borderId="0" pivotButton="0" quotePrefix="0" xfId="0"/>
    <xf numFmtId="10" fontId="4" fillId="0" borderId="0" pivotButton="0" quotePrefix="0" xfId="0"/>
    <xf numFmtId="164" fontId="4" fillId="0" borderId="0" pivotButton="0" quotePrefix="0" xfId="0"/>
    <xf numFmtId="165" fontId="4" fillId="0" borderId="0" pivotButton="0" quotePrefix="0" xfId="0"/>
    <xf numFmtId="0" fontId="4" fillId="0" borderId="0" pivotButton="0" quotePrefix="0" xfId="0"/>
    <xf numFmtId="0" fontId="5" fillId="0" borderId="0" pivotButton="0" quotePrefix="0" xfId="0"/>
    <xf numFmtId="0" fontId="5" fillId="3" borderId="2" applyAlignment="1" pivotButton="0" quotePrefix="0" xfId="0">
      <alignment vertical="top" wrapText="1"/>
    </xf>
    <xf numFmtId="166" fontId="4" fillId="0" borderId="0" pivotButton="0" quotePrefix="0" xfId="0"/>
    <xf numFmtId="4" fontId="4" fillId="0" borderId="0" pivotButton="0" quotePrefix="0" xfId="0"/>
    <xf numFmtId="168" fontId="4" fillId="0" borderId="0" pivotButton="0" quotePrefix="0" xfId="0"/>
    <xf numFmtId="49" fontId="5" fillId="4" borderId="0" pivotButton="0" quotePrefix="0" xfId="0"/>
    <xf numFmtId="0" fontId="5" fillId="4" borderId="0" pivotButton="0" quotePrefix="0" xfId="0"/>
    <xf numFmtId="3" fontId="5" fillId="4" borderId="0" pivotButton="0" quotePrefix="0" xfId="0"/>
    <xf numFmtId="165" fontId="5" fillId="4" borderId="0" pivotButton="0" quotePrefix="0" xfId="0"/>
    <xf numFmtId="169" fontId="4" fillId="0" borderId="0" pivotButton="0" quotePrefix="0" xfId="0"/>
    <xf numFmtId="49" fontId="4" fillId="0" borderId="0" applyAlignment="1" pivotButton="0" quotePrefix="0" xfId="0">
      <alignment vertical="top" wrapText="1"/>
    </xf>
    <xf numFmtId="3" fontId="0" fillId="0" borderId="0" pivotButton="0" quotePrefix="0" xfId="0"/>
    <xf numFmtId="49" fontId="6" fillId="0" borderId="0" pivotButton="0" quotePrefix="0" xfId="0"/>
    <xf numFmtId="0" fontId="4"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79"/>
  <sheetViews>
    <sheetView workbookViewId="0">
      <pane ySplit="4" topLeftCell="A5" activePane="bottomLeft" state="frozen"/>
      <selection pane="bottomLeft" activeCell="A1" sqref="A1"/>
    </sheetView>
  </sheetViews>
  <sheetFormatPr baseColWidth="8" defaultRowHeight="15"/>
  <cols>
    <col width="34" customWidth="1" min="1" max="1"/>
    <col width="46" customWidth="1" min="2" max="2"/>
    <col width="62" customWidth="1" min="3" max="3"/>
  </cols>
  <sheetData>
    <row r="1">
      <c r="A1" s="1" t="inlineStr">
        <is>
          <t>Deal summary</t>
        </is>
      </c>
    </row>
    <row r="2">
      <c r="A2" s="2" t="inlineStr">
        <is>
          <t>Fixture Park — as of 2026-06-30</t>
        </is>
      </c>
    </row>
    <row r="3">
      <c r="A3" s="2" t="inlineStr">
        <is>
          <t>AI Underwriting Pipeline — Sample Outputs</t>
        </is>
      </c>
    </row>
    <row r="4">
      <c r="A4" s="3" t="n"/>
      <c r="B4" s="3" t="n"/>
      <c r="C4" s="3" t="n"/>
      <c r="D4" s="3" t="n"/>
      <c r="E4" s="3" t="n"/>
      <c r="F4" s="3" t="n"/>
      <c r="G4" s="3" t="n"/>
      <c r="H4" s="3" t="n"/>
    </row>
    <row r="5">
      <c r="A5" s="4" t="inlineStr">
        <is>
          <t>Identification</t>
        </is>
      </c>
      <c r="B5" s="4" t="n"/>
      <c r="C5" s="4" t="n"/>
    </row>
    <row r="6">
      <c r="A6" s="5" t="inlineStr">
        <is>
          <t>Deal name</t>
        </is>
      </c>
      <c r="B6" s="5" t="inlineStr">
        <is>
          <t>Fixture Park</t>
        </is>
      </c>
      <c r="D6" s="6" t="inlineStr">
        <is>
          <t>Synthetic offering memorandum — p.1</t>
        </is>
      </c>
    </row>
    <row r="7">
      <c r="A7" s="5" t="inlineStr">
        <is>
          <t>Street address</t>
        </is>
      </c>
      <c r="B7" s="5" t="inlineStr">
        <is>
          <t>1400 Example Parkway</t>
        </is>
      </c>
      <c r="D7" s="6" t="inlineStr">
        <is>
          <t>Synthetic offering memorandum — p.4</t>
        </is>
      </c>
    </row>
    <row r="8">
      <c r="A8" s="5" t="inlineStr">
        <is>
          <t>City</t>
        </is>
      </c>
      <c r="B8" s="5" t="inlineStr">
        <is>
          <t>Sample City</t>
        </is>
      </c>
      <c r="D8" s="6" t="inlineStr">
        <is>
          <t>Synthetic offering memorandum — p.4</t>
        </is>
      </c>
    </row>
    <row r="9">
      <c r="A9" s="5" t="inlineStr">
        <is>
          <t>State</t>
        </is>
      </c>
      <c r="B9" s="5" t="inlineStr">
        <is>
          <t>TX</t>
        </is>
      </c>
      <c r="D9" s="6" t="inlineStr">
        <is>
          <t>Synthetic offering memorandum — p.4</t>
        </is>
      </c>
    </row>
    <row r="10">
      <c r="A10" s="5" t="inlineStr">
        <is>
          <t>ZIP</t>
        </is>
      </c>
      <c r="B10" s="5" t="inlineStr">
        <is>
          <t>75000</t>
        </is>
      </c>
      <c r="D10" s="6" t="inlineStr">
        <is>
          <t>Synthetic offering memorandum — p.4</t>
        </is>
      </c>
    </row>
    <row r="11">
      <c r="A11" s="5" t="inlineStr">
        <is>
          <t>County</t>
        </is>
      </c>
      <c r="B11" s="5" t="inlineStr">
        <is>
          <t>Example County</t>
        </is>
      </c>
      <c r="D11" s="6" t="inlineStr">
        <is>
          <t>Synthetic offering memorandum — p.4</t>
        </is>
      </c>
    </row>
    <row r="12">
      <c r="A12" s="5" t="inlineStr">
        <is>
          <t>MSA</t>
        </is>
      </c>
      <c r="B12" s="5" t="inlineStr">
        <is>
          <t>Sample City MSA</t>
        </is>
      </c>
      <c r="D12" s="6" t="inlineStr">
        <is>
          <t>Derived by the pipeline (derived)</t>
        </is>
      </c>
    </row>
    <row r="13">
      <c r="A13" s="5" t="inlineStr">
        <is>
          <t>Address resolved from</t>
        </is>
      </c>
      <c r="B13" s="5" t="inlineStr">
        <is>
          <t>Street address read from the synthetic marketing package; city/state/ZIP confirmed against the same document.</t>
        </is>
      </c>
      <c r="C13" s="6" t="inlineStr">
        <is>
          <t>How the address was resolved, and from which document.</t>
        </is>
      </c>
    </row>
    <row r="15">
      <c r="A15" s="4" t="inlineStr">
        <is>
          <t>Property</t>
        </is>
      </c>
      <c r="B15" s="4" t="n"/>
      <c r="C15" s="4" t="n"/>
    </row>
    <row r="16">
      <c r="A16" s="5" t="inlineStr">
        <is>
          <t>Product type</t>
        </is>
      </c>
      <c r="B16" s="5" t="inlineStr">
        <is>
          <t>MF</t>
        </is>
      </c>
      <c r="D16" s="6" t="inlineStr">
        <is>
          <t>Synthetic offering memorandum — p.6</t>
        </is>
      </c>
    </row>
    <row r="17">
      <c r="A17" s="5" t="inlineStr">
        <is>
          <t>Structure</t>
        </is>
      </c>
      <c r="B17" s="5" t="inlineStr">
        <is>
          <t>Three-story garden, surface parked</t>
        </is>
      </c>
      <c r="D17" s="6" t="inlineStr">
        <is>
          <t>Synthetic offering memorandum — p.6</t>
        </is>
      </c>
    </row>
    <row r="18">
      <c r="A18" s="5" t="inlineStr">
        <is>
          <t>Unit count</t>
        </is>
      </c>
      <c r="B18" s="7" t="n">
        <v>180</v>
      </c>
      <c r="C18" s="6" t="inlineStr">
        <is>
          <t>Divisor for every per-unit figure in the output set.</t>
        </is>
      </c>
      <c r="D18" s="6" t="inlineStr">
        <is>
          <t>Synthetic rent roll export — Rent Roll!A:A (derived)</t>
        </is>
      </c>
    </row>
    <row r="19">
      <c r="A19" s="5" t="inlineStr">
        <is>
          <t>Year built</t>
        </is>
      </c>
      <c r="B19" s="8" t="n">
        <v>2019</v>
      </c>
      <c r="D19" s="6" t="inlineStr">
        <is>
          <t>Synthetic offering memorandum — p.6</t>
        </is>
      </c>
    </row>
    <row r="20">
      <c r="A20" s="5" t="inlineStr">
        <is>
          <t>Product detail</t>
        </is>
      </c>
      <c r="B20" s="5" t="inlineStr">
        <is>
          <t>180 units across six plans: 62 one-bedroom (720–795 SF), 78 two-bedroom (1,050–1,140 SF), 26 three-bedroom flats (1,380 SF), 14 three-bedroom townhomes (1,620 SF). Washer/dryer in unit; detached garages on 24 units.</t>
        </is>
      </c>
      <c r="D20" s="6" t="inlineStr">
        <is>
          <t>Synthetic offering memorandum — p.7</t>
        </is>
      </c>
    </row>
    <row r="21">
      <c r="A21" s="5" t="inlineStr">
        <is>
          <t>Construction status</t>
        </is>
      </c>
      <c r="B21" s="5" t="inlineStr">
        <is>
          <t>Stabilized</t>
        </is>
      </c>
      <c r="D21" s="6" t="inlineStr">
        <is>
          <t>Synthetic offering memorandum — p.6</t>
        </is>
      </c>
    </row>
    <row r="22">
      <c r="A22" s="5" t="inlineStr">
        <is>
          <t>Delivery / CO date</t>
        </is>
      </c>
      <c r="B22" s="5" t="inlineStr">
        <is>
          <t>Delivered 2019; fully stabilized since 2021</t>
        </is>
      </c>
      <c r="D22" s="6" t="inlineStr">
        <is>
          <t>Synthetic offering memorandum — p.6</t>
        </is>
      </c>
    </row>
    <row r="24">
      <c r="A24" s="4" t="inlineStr">
        <is>
          <t>Parties</t>
        </is>
      </c>
      <c r="B24" s="4" t="n"/>
      <c r="C24" s="4" t="n"/>
    </row>
    <row r="25">
      <c r="A25" s="5" t="inlineStr">
        <is>
          <t>Seller entity</t>
        </is>
      </c>
      <c r="B25" s="5" t="inlineStr">
        <is>
          <t>Sample City Residential Holdings LLC</t>
        </is>
      </c>
      <c r="D25" s="6" t="inlineStr">
        <is>
          <t>Synthetic offering memorandum — p.2</t>
        </is>
      </c>
    </row>
    <row r="26">
      <c r="A26" s="5" t="inlineStr">
        <is>
          <t>Listing brokerage</t>
        </is>
      </c>
      <c r="B26" s="5" t="inlineStr">
        <is>
          <t>Listing brokerage</t>
        </is>
      </c>
      <c r="D26" s="6" t="inlineStr">
        <is>
          <t>Derived by the pipeline (derived)</t>
        </is>
      </c>
    </row>
    <row r="27">
      <c r="A27" s="5" t="inlineStr">
        <is>
          <t>Deal status</t>
        </is>
      </c>
      <c r="B27" s="5" t="inlineStr">
        <is>
          <t>On the market</t>
        </is>
      </c>
      <c r="D27" s="6" t="inlineStr">
        <is>
          <t>Synthetic offering memorandum — p.2</t>
        </is>
      </c>
    </row>
    <row r="29">
      <c r="A29" s="4" t="inlineStr">
        <is>
          <t>Pricing (illustrative)</t>
        </is>
      </c>
      <c r="B29" s="4" t="n"/>
      <c r="C29" s="4" t="n"/>
    </row>
    <row r="30">
      <c r="A30" s="5" t="inlineStr">
        <is>
          <t>Pricing guidance</t>
        </is>
      </c>
      <c r="B30" s="5" t="inlineStr">
        <is>
          <t>$215,000 per unit (illustrative)</t>
        </is>
      </c>
      <c r="D30" s="6" t="inlineStr">
        <is>
          <t>Supplied by the operator</t>
        </is>
      </c>
    </row>
    <row r="31">
      <c r="A31" s="5" t="inlineStr">
        <is>
          <t>Price per unit (illustrative)</t>
        </is>
      </c>
      <c r="B31" s="7" t="n">
        <v>215000</v>
      </c>
      <c r="C31" s="6" t="inlineStr">
        <is>
          <t>Every price and cap rate below is illustrative. The per-unit price is a round number chosen to sit inside the band a real per-unit sale price occupies; it is not a quote, an offer, or a broker's guidance.</t>
        </is>
      </c>
    </row>
    <row r="32">
      <c r="A32" s="5" t="inlineStr">
        <is>
          <t>Total price (illustrative)</t>
        </is>
      </c>
      <c r="B32" s="7">
        <f>B31*B18</f>
        <v/>
      </c>
      <c r="C32" s="6" t="inlineStr">
        <is>
          <t>Price per unit times unit count.</t>
        </is>
      </c>
    </row>
    <row r="33">
      <c r="A33" s="5" t="inlineStr">
        <is>
          <t>Approximate project value (illustrative)</t>
        </is>
      </c>
      <c r="B33" s="7">
        <f>B32</f>
        <v/>
      </c>
    </row>
    <row r="34">
      <c r="A34" s="5" t="inlineStr">
        <is>
          <t>T-12 net operating income</t>
        </is>
      </c>
      <c r="B34" s="7" t="n">
        <v>2126461.64</v>
      </c>
      <c r="C34" s="6" t="inlineStr">
        <is>
          <t>From the T-12 analysis workbook's P&amp;L rollup.</t>
        </is>
      </c>
    </row>
    <row r="35">
      <c r="A35" s="5" t="inlineStr">
        <is>
          <t>T-12 cap rate (illustrative)</t>
        </is>
      </c>
      <c r="B35" s="9">
        <f>IFERROR(B34/B32,"")</f>
        <v/>
      </c>
    </row>
    <row r="36">
      <c r="A36" s="5" t="inlineStr">
        <is>
          <t>T-3 net operating income (annualized)</t>
        </is>
      </c>
      <c r="B36" s="7" t="n">
        <v>2178700.48</v>
      </c>
      <c r="C36" s="6" t="inlineStr">
        <is>
          <t>Trailing three months times four.</t>
        </is>
      </c>
    </row>
    <row r="37">
      <c r="A37" s="5" t="inlineStr">
        <is>
          <t>T-3 cap rate (illustrative)</t>
        </is>
      </c>
      <c r="B37" s="9">
        <f>IFERROR(B36/B32,"")</f>
        <v/>
      </c>
    </row>
    <row r="39">
      <c r="A39" s="4" t="inlineStr">
        <is>
          <t>Rents</t>
        </is>
      </c>
      <c r="B39" s="4" t="n"/>
      <c r="C39" s="4" t="n"/>
    </row>
    <row r="40">
      <c r="A40" s="5" t="inlineStr">
        <is>
          <t>In-place rent (avg)</t>
        </is>
      </c>
      <c r="B40" s="7" t="n">
        <v>1795.36</v>
      </c>
      <c r="D40" s="6" t="inlineStr">
        <is>
          <t>Derived by the pipeline — Unit Mix Summary!E (computed)</t>
        </is>
      </c>
    </row>
    <row r="41">
      <c r="A41" s="5" t="inlineStr">
        <is>
          <t>Market rent for model</t>
        </is>
      </c>
      <c r="B41" s="7" t="n">
        <v>1834.78</v>
      </c>
      <c r="C41" s="6" t="inlineStr">
        <is>
          <t>New-lease average where the plan has new leases in the lookback window, otherwise in-place. Never a blend of new and renewal.</t>
        </is>
      </c>
      <c r="D41" s="6" t="inlineStr">
        <is>
          <t>Derived by the pipeline — Unit Mix Summary!H (computed)</t>
        </is>
      </c>
    </row>
    <row r="42">
      <c r="A42" s="5" t="inlineStr">
        <is>
          <t>Fair market value</t>
        </is>
      </c>
      <c r="B42" s="7" t="n">
        <v>39600000</v>
      </c>
      <c r="D42" s="6" t="inlineStr">
        <is>
          <t>Supplied by the operator</t>
        </is>
      </c>
    </row>
    <row r="44">
      <c r="A44" s="4" t="inlineStr">
        <is>
          <t>Taxes</t>
        </is>
      </c>
      <c r="B44" s="4" t="n"/>
      <c r="C44" s="4" t="n"/>
    </row>
    <row r="45">
      <c r="A45" s="5" t="inlineStr">
        <is>
          <t>Tax rate as billed</t>
        </is>
      </c>
      <c r="B45" s="10" t="n">
        <v>2.148</v>
      </c>
      <c r="C45" s="6" t="inlineStr">
        <is>
          <t>Rate as actually billed — not a statutory or effective rate.</t>
        </is>
      </c>
      <c r="D45" s="6" t="inlineStr">
        <is>
          <t>Synthetic county tax record — Rate table, synthetic district</t>
        </is>
      </c>
    </row>
    <row r="46">
      <c r="A46" s="5" t="inlineStr">
        <is>
          <t>Assessed value basis</t>
        </is>
      </c>
      <c r="B46" s="7" t="n">
        <v>23000000</v>
      </c>
      <c r="D46" s="6" t="inlineStr">
        <is>
          <t>Synthetic county tax record — Valuation notice</t>
        </is>
      </c>
    </row>
    <row r="47">
      <c r="A47" s="5" t="inlineStr">
        <is>
          <t>Assessment ratio</t>
        </is>
      </c>
      <c r="B47" s="11" t="n">
        <v>1</v>
      </c>
      <c r="D47" s="6" t="inlineStr">
        <is>
          <t>Synthetic county tax record — Rate table</t>
        </is>
      </c>
    </row>
    <row r="48">
      <c r="A48" s="5" t="inlineStr">
        <is>
          <t>Tax divisor</t>
        </is>
      </c>
      <c r="B48" s="7" t="n">
        <v>100</v>
      </c>
      <c r="D48" s="6" t="inlineStr">
        <is>
          <t>Synthetic county tax record — Rate table</t>
        </is>
      </c>
    </row>
    <row r="49">
      <c r="A49" s="5" t="inlineStr">
        <is>
          <t>Tax exemption</t>
        </is>
      </c>
      <c r="B49" s="7" t="n">
        <v>0</v>
      </c>
      <c r="D49" s="6" t="inlineStr">
        <is>
          <t>Synthetic county tax record — Valuation notice</t>
        </is>
      </c>
    </row>
    <row r="50">
      <c r="A50" s="5" t="inlineStr">
        <is>
          <t>Parcel / APN</t>
        </is>
      </c>
      <c r="B50" s="5" t="inlineStr">
        <is>
          <t>SYN-000-00-000</t>
        </is>
      </c>
      <c r="C50" s="6" t="inlineStr">
        <is>
          <t>The parcel the bill is issued against.</t>
        </is>
      </c>
    </row>
    <row r="51">
      <c r="A51" s="5" t="inlineStr">
        <is>
          <t>Tax area code</t>
        </is>
      </c>
      <c r="B51" s="5" t="inlineStr">
        <is>
          <t>SYN-0000</t>
        </is>
      </c>
      <c r="C51" s="6" t="inlineStr">
        <is>
          <t>Determines which published rate row applies.</t>
        </is>
      </c>
    </row>
    <row r="52">
      <c r="A52" s="5" t="inlineStr">
        <is>
          <t>Basis label</t>
        </is>
      </c>
      <c r="B52" s="5" t="inlineStr">
        <is>
          <t>Assessed value (synthetic)</t>
        </is>
      </c>
      <c r="C52" s="6" t="inlineStr">
        <is>
          <t>Synthetic basis. On a real deal this row states what the basis IS in that state and whether it resets on sale.</t>
        </is>
      </c>
    </row>
    <row r="53">
      <c r="A53" s="5" t="inlineStr">
        <is>
          <t>Computed annual tax</t>
        </is>
      </c>
      <c r="B53" s="7">
        <f>IFERROR(B46*B47/B48*B45-B49,"MISSING")</f>
        <v/>
      </c>
      <c r="C53" s="6" t="inlineStr">
        <is>
          <t>Rate as billed, 2.148 per $100 of assessed value, read from the synthetic county bill for the 2025 tax year.</t>
        </is>
      </c>
    </row>
    <row r="54">
      <c r="A54" s="5" t="inlineStr">
        <is>
          <t>Computed tax per unit</t>
        </is>
      </c>
      <c r="B54" s="7">
        <f>IFERROR(B53/B18,"MISSING")</f>
        <v/>
      </c>
    </row>
    <row r="55">
      <c r="A55" s="5" t="inlineStr">
        <is>
          <t>Billed by the county (2025)</t>
        </is>
      </c>
      <c r="B55" s="7" t="n">
        <v>494040</v>
      </c>
      <c r="C55" s="6" t="inlineStr">
        <is>
          <t>The county's own figure, for the cross-check below.</t>
        </is>
      </c>
    </row>
    <row r="56">
      <c r="A56" s="5" t="inlineStr">
        <is>
          <t>Check: computed vs billed</t>
        </is>
      </c>
      <c r="B56" s="12">
        <f>IF(OR(NOT(ISNUMBER(B53)),NOT(ISNUMBER(B55)),B55=0),"NOT CHECKED",IF(ABS(B53-B55)/B55&lt;=0.02,"ties","REVIEW"))</f>
        <v/>
      </c>
      <c r="C56" s="6" t="inlineStr">
        <is>
          <t>A computed tax that cannot be tied to the actual bill is an estimate wearing the clothes of a fact.</t>
        </is>
      </c>
    </row>
    <row r="57">
      <c r="A57" s="5" t="inlineStr">
        <is>
          <t>Check: difference</t>
        </is>
      </c>
      <c r="B57" s="7">
        <f>IFERROR(B53-B55,"")</f>
        <v/>
      </c>
    </row>
    <row r="59">
      <c r="A59" s="4" t="inlineStr">
        <is>
          <t>Closing costs at the illustrative price</t>
        </is>
      </c>
      <c r="B59" s="4" t="n"/>
      <c r="C59" s="4" t="n"/>
    </row>
    <row r="60">
      <c r="A60" s="5" t="inlineStr">
        <is>
          <t>Transfer tax</t>
        </is>
      </c>
      <c r="B60" s="7" t="n">
        <v>0</v>
      </c>
      <c r="C60" s="6" t="inlineStr">
        <is>
          <t>No real-estate transfer tax · Tex. Const. art. VIII, sec. 29 (added 2015) · The bar is on enacting a transfer tax after 2016-01-01; Texas had none, so the rate is zero. The same section expressly permits a tax on title insurance, and Texas title premiums are state-promulgated and material — a zero here does not mean a cheap closing.</t>
        </is>
      </c>
    </row>
    <row r="61">
      <c r="A61" s="5" t="inlineStr">
        <is>
          <t>Mortgage / recording tax</t>
        </is>
      </c>
      <c r="B61" s="7" t="n">
        <v>0</v>
      </c>
      <c r="C61" s="6" t="inlineStr">
        <is>
          <t>No mortgage tax · No imposing statute; Tex. Loc. Gov't Code ch. 118 · Proven by absence of an imposing statute rather than by an affirmative constitutional bar, which is a weaker form of proof than Arizona's. Recording is a flat per-page schedule.</t>
        </is>
      </c>
    </row>
    <row r="62">
      <c r="A62" s="5" t="inlineStr">
        <is>
          <t>Closing-cost basis</t>
        </is>
      </c>
      <c r="B62" s="7" t="n">
        <v>38700000</v>
      </c>
      <c r="C62" s="6" t="inlineStr">
        <is>
          <t>Transfer tax is computed on the purchase price. A mortgage or recording tax is computed on the LOAN AMOUNT, and is reported as not asserted when no loan is stated — never inferred from the price, which would assume 100% leverage. Rates are verified against a primary authority and carry the citation and the date confirmed; a state absent from the table reports as not asserted rather than as zero.</t>
        </is>
      </c>
    </row>
    <row r="64">
      <c r="A64" s="4" t="inlineStr">
        <is>
          <t>Schools</t>
        </is>
      </c>
      <c r="B64" s="4" t="n"/>
      <c r="C64" s="4" t="n"/>
    </row>
    <row r="65">
      <c r="A65" s="5" t="inlineStr">
        <is>
          <t>Elementary school</t>
        </is>
      </c>
      <c r="B65" s="5" t="inlineStr">
        <is>
          <t>Example Creek Elementary</t>
        </is>
      </c>
      <c r="D65" s="6" t="inlineStr">
        <is>
          <t>Synthetic public data extract — School attendance lookup</t>
        </is>
      </c>
    </row>
    <row r="66">
      <c r="A66" s="5" t="inlineStr">
        <is>
          <t>Elementary rating</t>
        </is>
      </c>
      <c r="B66" s="8" t="n">
        <v>7</v>
      </c>
    </row>
    <row r="67">
      <c r="A67" s="5" t="inlineStr">
        <is>
          <t>Middle school</t>
        </is>
      </c>
      <c r="B67" s="5" t="inlineStr">
        <is>
          <t>Example Ridge Middle</t>
        </is>
      </c>
      <c r="D67" s="6" t="inlineStr">
        <is>
          <t>Synthetic public data extract — School attendance lookup</t>
        </is>
      </c>
    </row>
    <row r="68">
      <c r="A68" s="5" t="inlineStr">
        <is>
          <t>Middle rating</t>
        </is>
      </c>
      <c r="B68" s="8" t="n">
        <v>6</v>
      </c>
    </row>
    <row r="69">
      <c r="A69" s="5" t="inlineStr">
        <is>
          <t>High school</t>
        </is>
      </c>
      <c r="B69" s="5" t="inlineStr">
        <is>
          <t>Sample City High</t>
        </is>
      </c>
      <c r="D69" s="6" t="inlineStr">
        <is>
          <t>Synthetic public data extract — School attendance lookup</t>
        </is>
      </c>
    </row>
    <row r="70">
      <c r="A70" s="5" t="inlineStr">
        <is>
          <t>High rating</t>
        </is>
      </c>
      <c r="B70" s="8" t="n">
        <v>7</v>
      </c>
    </row>
    <row r="72">
      <c r="A72" s="4" t="inlineStr">
        <is>
          <t>Notes</t>
        </is>
      </c>
      <c r="B72" s="4" t="n"/>
      <c r="C72" s="4" t="n"/>
    </row>
    <row r="73">
      <c r="A73" s="5" t="inlineStr">
        <is>
          <t>Notes</t>
        </is>
      </c>
      <c r="B73" s="5" t="inlineStr">
        <is>
          <t>Synthetic deal built to exercise the output formats. Pricing is illustrative and no licensed data source was used. Comps come only from an operator's own weekly rent scrape.</t>
        </is>
      </c>
    </row>
    <row r="75">
      <c r="A75" s="4" t="inlineStr">
        <is>
          <t>Boundaries</t>
        </is>
      </c>
      <c r="B75" s="4" t="n"/>
      <c r="C75" s="4" t="n"/>
    </row>
    <row r="76">
      <c r="A76" s="13" t="inlineStr">
        <is>
          <t>Excluded by design</t>
        </is>
      </c>
      <c r="B76" t="inlineStr">
        <is>
          <t>Third-party licensed rent-comp feeds</t>
        </is>
      </c>
    </row>
    <row r="77">
      <c r="A77" s="13" t="inlineStr">
        <is>
          <t>Excluded by design</t>
        </is>
      </c>
      <c r="B77" t="inlineStr">
        <is>
          <t>Subscription market-data providers</t>
        </is>
      </c>
    </row>
    <row r="78">
      <c r="A78" s="13" t="inlineStr">
        <is>
          <t>Excluded by design</t>
        </is>
      </c>
      <c r="B78" t="inlineStr">
        <is>
          <t>Any employer-owned deal data or template</t>
        </is>
      </c>
    </row>
    <row r="79">
      <c r="A79" s="13" t="inlineStr">
        <is>
          <t>Synthetic deal</t>
        </is>
      </c>
      <c r="B79" t="inlineStr">
        <is>
          <t>Every figure is fabricated for demonstration. No real property is described.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69"/>
  <sheetViews>
    <sheetView workbookViewId="0">
      <pane ySplit="5" topLeftCell="A6" activePane="bottomLeft" state="frozen"/>
      <selection pane="bottomLeft" activeCell="A1" sqref="A1"/>
    </sheetView>
  </sheetViews>
  <sheetFormatPr baseColWidth="8" defaultRowHeight="15"/>
  <cols>
    <col width="30" customWidth="1" min="1" max="1"/>
    <col width="38" customWidth="1" min="2" max="2"/>
    <col width="42" customWidth="1" min="3" max="3"/>
    <col width="20" customWidth="1" min="4" max="4"/>
    <col width="22" customWidth="1" min="5" max="5"/>
    <col width="12" customWidth="1" min="6" max="6"/>
    <col width="42" customWidth="1" min="7" max="7"/>
    <col width="13" customWidth="1" min="8" max="8"/>
    <col width="12" customWidth="1" min="9" max="9"/>
    <col width="20" customWidth="1" min="10" max="10"/>
    <col width="22" customWidth="1" min="11" max="11"/>
    <col width="11" customWidth="1" min="12" max="12"/>
    <col width="12" customWidth="1" min="13" max="13"/>
    <col width="19" customWidth="1" min="14" max="14"/>
  </cols>
  <sheetData>
    <row r="1">
      <c r="A1" s="1" t="inlineStr">
        <is>
          <t>Rent comps</t>
        </is>
      </c>
    </row>
    <row r="2">
      <c r="A2" s="2" t="inlineStr">
        <is>
          <t>Fixture Park — as of 2026-06-22</t>
        </is>
      </c>
    </row>
    <row r="3">
      <c r="A3" s="2" t="inlineStr">
        <is>
          <t>Source: the operator's own weekly rent scrape. Asking and net effective are stated separately on every row — a concession-blind comp set is the most common way a rent assumption goes wrong. No licensed comp feed is used.</t>
        </is>
      </c>
    </row>
    <row r="4">
      <c r="A4" s="3" t="n"/>
      <c r="B4" s="3" t="n"/>
      <c r="C4" s="3" t="n"/>
      <c r="D4" s="3" t="n"/>
      <c r="E4" s="3" t="n"/>
      <c r="F4" s="3" t="n"/>
      <c r="G4" s="3" t="n"/>
      <c r="H4" s="3" t="n"/>
    </row>
    <row r="5">
      <c r="A5" s="4" t="inlineStr">
        <is>
          <t>Tier 1 — Top comps: the closest 5 communities matching the subject's product and vintage</t>
        </is>
      </c>
      <c r="B5" s="4" t="n"/>
      <c r="C5" s="4" t="n"/>
      <c r="D5" s="4" t="n"/>
      <c r="E5" s="4" t="n"/>
      <c r="F5" s="4" t="n"/>
    </row>
    <row r="6">
      <c r="A6" s="5" t="inlineStr">
        <is>
          <t>Vintage filter applied where year known: +/-10 years of the subject's year built. 1 of 11 communities shown carry no published year and were matched on distance and product only.</t>
        </is>
      </c>
    </row>
    <row r="7">
      <c r="A7" s="14" t="inlineStr">
        <is>
          <t>Community</t>
        </is>
      </c>
      <c r="B7" s="14" t="inlineStr">
        <is>
          <t>Distance (mi)</t>
        </is>
      </c>
      <c r="C7" s="14" t="inlineStr">
        <is>
          <t>Year built</t>
        </is>
      </c>
      <c r="D7" s="14" t="inlineStr">
        <is>
          <t>Floor plan</t>
        </is>
      </c>
      <c r="E7" s="14" t="inlineStr">
        <is>
          <t>Beds</t>
        </is>
      </c>
      <c r="F7" s="14" t="inlineStr">
        <is>
          <t>Baths</t>
        </is>
      </c>
      <c r="G7" s="14" t="inlineStr">
        <is>
          <t>SF</t>
        </is>
      </c>
      <c r="H7" s="14" t="inlineStr">
        <is>
          <t>Asking rent</t>
        </is>
      </c>
      <c r="I7" s="14" t="inlineStr">
        <is>
          <t>Concession</t>
        </is>
      </c>
      <c r="J7" s="14" t="inlineStr">
        <is>
          <t>Net effective rent</t>
        </is>
      </c>
      <c r="K7" s="14" t="inlineStr">
        <is>
          <t>Asking $/SF</t>
        </is>
      </c>
      <c r="L7" s="14" t="inlineStr">
        <is>
          <t>Occupancy</t>
        </is>
      </c>
      <c r="M7" s="14" t="inlineStr">
        <is>
          <t>As-of date</t>
        </is>
      </c>
      <c r="N7" s="14" t="inlineStr">
        <is>
          <t>Source</t>
        </is>
      </c>
    </row>
    <row r="8">
      <c r="A8" s="5" t="inlineStr">
        <is>
          <t>Alderwood Crossing</t>
        </is>
      </c>
      <c r="B8" s="10" t="n">
        <v>0.4</v>
      </c>
      <c r="C8" s="8" t="n">
        <v>2021</v>
      </c>
      <c r="D8" s="5" t="inlineStr">
        <is>
          <t>1BR-A</t>
        </is>
      </c>
      <c r="E8" s="15" t="n">
        <v>1</v>
      </c>
      <c r="F8" s="15" t="n">
        <v>1</v>
      </c>
      <c r="G8" s="7" t="n">
        <v>735</v>
      </c>
      <c r="H8" s="7" t="n">
        <v>1450</v>
      </c>
      <c r="I8" s="7" t="n">
        <v>45</v>
      </c>
      <c r="J8" s="7" t="n">
        <v>1405</v>
      </c>
      <c r="K8" s="16">
        <f>IFERROR(H8/G8,"")</f>
        <v/>
      </c>
      <c r="L8" s="11" t="n">
        <v>0.9399999999999999</v>
      </c>
      <c r="M8" s="17" t="n">
        <v>46195</v>
      </c>
      <c r="N8" s="5" t="inlineStr">
        <is>
          <t>own weekly scrape</t>
        </is>
      </c>
    </row>
    <row r="9">
      <c r="A9" s="5" t="inlineStr">
        <is>
          <t>Alderwood Crossing</t>
        </is>
      </c>
      <c r="B9" s="10" t="n">
        <v>0.4</v>
      </c>
      <c r="C9" s="8" t="n">
        <v>2021</v>
      </c>
      <c r="D9" s="5" t="inlineStr">
        <is>
          <t>2BR-B</t>
        </is>
      </c>
      <c r="E9" s="15" t="n">
        <v>2</v>
      </c>
      <c r="F9" s="15" t="n">
        <v>2</v>
      </c>
      <c r="G9" s="7" t="n">
        <v>1075</v>
      </c>
      <c r="H9" s="7" t="n">
        <v>1815</v>
      </c>
      <c r="I9" s="7" t="n">
        <v>45</v>
      </c>
      <c r="J9" s="7" t="n">
        <v>1770</v>
      </c>
      <c r="K9" s="16">
        <f>IFERROR(H9/G9,"")</f>
        <v/>
      </c>
      <c r="L9" s="11" t="n">
        <v>0.9399999999999999</v>
      </c>
      <c r="M9" s="17" t="n">
        <v>46195</v>
      </c>
      <c r="N9" s="5" t="inlineStr">
        <is>
          <t>own weekly scrape</t>
        </is>
      </c>
    </row>
    <row r="10">
      <c r="A10" s="5" t="inlineStr">
        <is>
          <t>Rowan Yard</t>
        </is>
      </c>
      <c r="B10" s="10" t="n">
        <v>0.6</v>
      </c>
      <c r="C10" s="12" t="n"/>
      <c r="D10" s="5" t="inlineStr">
        <is>
          <t>1BR-A</t>
        </is>
      </c>
      <c r="E10" s="15" t="n">
        <v>1</v>
      </c>
      <c r="F10" s="15" t="n">
        <v>1</v>
      </c>
      <c r="G10" s="7" t="n">
        <v>735</v>
      </c>
      <c r="H10" s="7" t="n">
        <v>1455</v>
      </c>
      <c r="I10" s="7" t="n">
        <v>0</v>
      </c>
      <c r="J10" s="7" t="n">
        <v>1455</v>
      </c>
      <c r="K10" s="16">
        <f>IFERROR(H10/G10,"")</f>
        <v/>
      </c>
      <c r="L10" s="11" t="n">
        <v>0.96</v>
      </c>
      <c r="M10" s="17" t="n">
        <v>46195</v>
      </c>
      <c r="N10" s="5" t="inlineStr">
        <is>
          <t>own weekly scrape</t>
        </is>
      </c>
    </row>
    <row r="11">
      <c r="A11" s="5" t="inlineStr">
        <is>
          <t>Rowan Yard</t>
        </is>
      </c>
      <c r="B11" s="10" t="n">
        <v>0.6</v>
      </c>
      <c r="C11" s="12" t="n"/>
      <c r="D11" s="5" t="inlineStr">
        <is>
          <t>2BR-B</t>
        </is>
      </c>
      <c r="E11" s="15" t="n">
        <v>2</v>
      </c>
      <c r="F11" s="15" t="n">
        <v>2</v>
      </c>
      <c r="G11" s="7" t="n">
        <v>1075</v>
      </c>
      <c r="H11" s="7" t="n">
        <v>1820</v>
      </c>
      <c r="I11" s="7" t="n">
        <v>0</v>
      </c>
      <c r="J11" s="7" t="n">
        <v>1820</v>
      </c>
      <c r="K11" s="16">
        <f>IFERROR(H11/G11,"")</f>
        <v/>
      </c>
      <c r="L11" s="11" t="n">
        <v>0.96</v>
      </c>
      <c r="M11" s="17" t="n">
        <v>46195</v>
      </c>
      <c r="N11" s="5" t="inlineStr">
        <is>
          <t>own weekly scrape</t>
        </is>
      </c>
    </row>
    <row r="12">
      <c r="A12" s="5" t="inlineStr">
        <is>
          <t>Sable Point</t>
        </is>
      </c>
      <c r="B12" s="10" t="n">
        <v>0.9</v>
      </c>
      <c r="C12" s="8" t="n">
        <v>2014</v>
      </c>
      <c r="D12" s="5" t="inlineStr">
        <is>
          <t>1BR-A</t>
        </is>
      </c>
      <c r="E12" s="15" t="n">
        <v>1</v>
      </c>
      <c r="F12" s="15" t="n">
        <v>1</v>
      </c>
      <c r="G12" s="7" t="n">
        <v>735</v>
      </c>
      <c r="H12" s="7" t="n">
        <v>1460</v>
      </c>
      <c r="I12" s="7" t="n">
        <v>45</v>
      </c>
      <c r="J12" s="7" t="n">
        <v>1415</v>
      </c>
      <c r="K12" s="16">
        <f>IFERROR(H12/G12,"")</f>
        <v/>
      </c>
      <c r="L12" s="11" t="n">
        <v>0.9399999999999999</v>
      </c>
      <c r="M12" s="17" t="n">
        <v>46195</v>
      </c>
      <c r="N12" s="5" t="inlineStr">
        <is>
          <t>own weekly scrape</t>
        </is>
      </c>
    </row>
    <row r="13">
      <c r="A13" s="5" t="inlineStr">
        <is>
          <t>Sable Point</t>
        </is>
      </c>
      <c r="B13" s="10" t="n">
        <v>0.9</v>
      </c>
      <c r="C13" s="8" t="n">
        <v>2014</v>
      </c>
      <c r="D13" s="5" t="inlineStr">
        <is>
          <t>2BR-B</t>
        </is>
      </c>
      <c r="E13" s="15" t="n">
        <v>2</v>
      </c>
      <c r="F13" s="15" t="n">
        <v>2</v>
      </c>
      <c r="G13" s="7" t="n">
        <v>1075</v>
      </c>
      <c r="H13" s="7" t="n">
        <v>1825</v>
      </c>
      <c r="I13" s="7" t="n">
        <v>45</v>
      </c>
      <c r="J13" s="7" t="n">
        <v>1780</v>
      </c>
      <c r="K13" s="16">
        <f>IFERROR(H13/G13,"")</f>
        <v/>
      </c>
      <c r="L13" s="11" t="n">
        <v>0.9399999999999999</v>
      </c>
      <c r="M13" s="17" t="n">
        <v>46195</v>
      </c>
      <c r="N13" s="5" t="inlineStr">
        <is>
          <t>own weekly scrape</t>
        </is>
      </c>
    </row>
    <row r="14">
      <c r="A14" s="5" t="inlineStr">
        <is>
          <t>Sable Point</t>
        </is>
      </c>
      <c r="B14" s="10" t="n">
        <v>0.9</v>
      </c>
      <c r="C14" s="8" t="n">
        <v>2014</v>
      </c>
      <c r="D14" s="5" t="inlineStr">
        <is>
          <t>3BR-C</t>
        </is>
      </c>
      <c r="E14" s="15" t="n">
        <v>3</v>
      </c>
      <c r="F14" s="15" t="n">
        <v>2.5</v>
      </c>
      <c r="G14" s="7" t="n">
        <v>1355</v>
      </c>
      <c r="H14" s="7" t="n">
        <v>2180</v>
      </c>
      <c r="I14" s="7" t="n">
        <v>45</v>
      </c>
      <c r="J14" s="7" t="n">
        <v>2135</v>
      </c>
      <c r="K14" s="16">
        <f>IFERROR(H14/G14,"")</f>
        <v/>
      </c>
      <c r="L14" s="11" t="n">
        <v>0.9399999999999999</v>
      </c>
      <c r="M14" s="17" t="n">
        <v>46195</v>
      </c>
      <c r="N14" s="5" t="inlineStr">
        <is>
          <t>own weekly scrape</t>
        </is>
      </c>
    </row>
    <row r="15">
      <c r="A15" s="5" t="inlineStr">
        <is>
          <t>Harper Station</t>
        </is>
      </c>
      <c r="B15" s="10" t="n">
        <v>1.1</v>
      </c>
      <c r="C15" s="8" t="n">
        <v>2026</v>
      </c>
      <c r="D15" s="5" t="inlineStr">
        <is>
          <t>1BR-A</t>
        </is>
      </c>
      <c r="E15" s="15" t="n">
        <v>1</v>
      </c>
      <c r="F15" s="15" t="n">
        <v>1</v>
      </c>
      <c r="G15" s="7" t="n">
        <v>735</v>
      </c>
      <c r="H15" s="7" t="n">
        <v>1465</v>
      </c>
      <c r="I15" s="7" t="n">
        <v>0</v>
      </c>
      <c r="J15" s="7" t="n">
        <v>1465</v>
      </c>
      <c r="K15" s="16">
        <f>IFERROR(H15/G15,"")</f>
        <v/>
      </c>
      <c r="L15" s="11" t="n">
        <v>0.96</v>
      </c>
      <c r="M15" s="17" t="n">
        <v>46195</v>
      </c>
      <c r="N15" s="5" t="inlineStr">
        <is>
          <t>own weekly scrape</t>
        </is>
      </c>
    </row>
    <row r="16">
      <c r="A16" s="5" t="inlineStr">
        <is>
          <t>Harper Station</t>
        </is>
      </c>
      <c r="B16" s="10" t="n">
        <v>1.1</v>
      </c>
      <c r="C16" s="8" t="n">
        <v>2026</v>
      </c>
      <c r="D16" s="5" t="inlineStr">
        <is>
          <t>2BR-B</t>
        </is>
      </c>
      <c r="E16" s="15" t="n">
        <v>2</v>
      </c>
      <c r="F16" s="15" t="n">
        <v>2</v>
      </c>
      <c r="G16" s="7" t="n">
        <v>1075</v>
      </c>
      <c r="H16" s="7" t="n">
        <v>1830</v>
      </c>
      <c r="I16" s="7" t="n">
        <v>0</v>
      </c>
      <c r="J16" s="7" t="n">
        <v>1830</v>
      </c>
      <c r="K16" s="16">
        <f>IFERROR(H16/G16,"")</f>
        <v/>
      </c>
      <c r="L16" s="11" t="n">
        <v>0.96</v>
      </c>
      <c r="M16" s="17" t="n">
        <v>46195</v>
      </c>
      <c r="N16" s="5" t="inlineStr">
        <is>
          <t>own weekly scrape</t>
        </is>
      </c>
    </row>
    <row r="17">
      <c r="A17" s="5" t="inlineStr">
        <is>
          <t>Kestrel Ridge</t>
        </is>
      </c>
      <c r="B17" s="10" t="n">
        <v>1.3</v>
      </c>
      <c r="C17" s="8" t="n">
        <v>2019</v>
      </c>
      <c r="D17" s="5" t="inlineStr">
        <is>
          <t>1BR-A</t>
        </is>
      </c>
      <c r="E17" s="15" t="n">
        <v>1</v>
      </c>
      <c r="F17" s="15" t="n">
        <v>1</v>
      </c>
      <c r="G17" s="7" t="n">
        <v>735</v>
      </c>
      <c r="H17" s="7" t="n">
        <v>1470</v>
      </c>
      <c r="I17" s="7" t="n">
        <v>45</v>
      </c>
      <c r="J17" s="7" t="n">
        <v>1425</v>
      </c>
      <c r="K17" s="16">
        <f>IFERROR(H17/G17,"")</f>
        <v/>
      </c>
      <c r="L17" s="11" t="n">
        <v>0.9399999999999999</v>
      </c>
      <c r="M17" s="17" t="n">
        <v>46195</v>
      </c>
      <c r="N17" s="5" t="inlineStr">
        <is>
          <t>own weekly scrape</t>
        </is>
      </c>
    </row>
    <row r="18">
      <c r="A18" s="5" t="inlineStr">
        <is>
          <t>Kestrel Ridge</t>
        </is>
      </c>
      <c r="B18" s="10" t="n">
        <v>1.3</v>
      </c>
      <c r="C18" s="8" t="n">
        <v>2019</v>
      </c>
      <c r="D18" s="5" t="inlineStr">
        <is>
          <t>2BR-B</t>
        </is>
      </c>
      <c r="E18" s="15" t="n">
        <v>2</v>
      </c>
      <c r="F18" s="15" t="n">
        <v>2</v>
      </c>
      <c r="G18" s="7" t="n">
        <v>1075</v>
      </c>
      <c r="H18" s="7" t="n">
        <v>1835</v>
      </c>
      <c r="I18" s="7" t="n">
        <v>45</v>
      </c>
      <c r="J18" s="7" t="n">
        <v>1790</v>
      </c>
      <c r="K18" s="16">
        <f>IFERROR(H18/G18,"")</f>
        <v/>
      </c>
      <c r="L18" s="11" t="n">
        <v>0.9399999999999999</v>
      </c>
      <c r="M18" s="17" t="n">
        <v>46195</v>
      </c>
      <c r="N18" s="5" t="inlineStr">
        <is>
          <t>own weekly scrape</t>
        </is>
      </c>
    </row>
    <row r="19"/>
    <row r="20">
      <c r="A20" s="4" t="inlineStr">
        <is>
          <t>Tier 2 — Additional comps: the next 6 communities matching the subject's product and vintage</t>
        </is>
      </c>
      <c r="B20" s="4" t="n"/>
      <c r="C20" s="4" t="n"/>
      <c r="D20" s="4" t="n"/>
      <c r="E20" s="4" t="n"/>
      <c r="F20" s="4" t="n"/>
    </row>
    <row r="21">
      <c r="A21" s="14" t="inlineStr">
        <is>
          <t>Community</t>
        </is>
      </c>
      <c r="B21" s="14" t="inlineStr">
        <is>
          <t>Distance (mi)</t>
        </is>
      </c>
      <c r="C21" s="14" t="inlineStr">
        <is>
          <t>Year built</t>
        </is>
      </c>
      <c r="D21" s="14" t="inlineStr">
        <is>
          <t>Floor plan</t>
        </is>
      </c>
      <c r="E21" s="14" t="inlineStr">
        <is>
          <t>Beds</t>
        </is>
      </c>
      <c r="F21" s="14" t="inlineStr">
        <is>
          <t>Baths</t>
        </is>
      </c>
      <c r="G21" s="14" t="inlineStr">
        <is>
          <t>SF</t>
        </is>
      </c>
      <c r="H21" s="14" t="inlineStr">
        <is>
          <t>Asking rent</t>
        </is>
      </c>
      <c r="I21" s="14" t="inlineStr">
        <is>
          <t>Concession</t>
        </is>
      </c>
      <c r="J21" s="14" t="inlineStr">
        <is>
          <t>Net effective rent</t>
        </is>
      </c>
      <c r="K21" s="14" t="inlineStr">
        <is>
          <t>Asking $/SF</t>
        </is>
      </c>
      <c r="L21" s="14" t="inlineStr">
        <is>
          <t>Occupancy</t>
        </is>
      </c>
      <c r="M21" s="14" t="inlineStr">
        <is>
          <t>As-of date</t>
        </is>
      </c>
      <c r="N21" s="14" t="inlineStr">
        <is>
          <t>Source</t>
        </is>
      </c>
    </row>
    <row r="22">
      <c r="A22" s="5" t="inlineStr">
        <is>
          <t>Linden Mill</t>
        </is>
      </c>
      <c r="B22" s="10" t="n">
        <v>1.5</v>
      </c>
      <c r="C22" s="8" t="n">
        <v>2011</v>
      </c>
      <c r="D22" s="5" t="inlineStr">
        <is>
          <t>1BR-A</t>
        </is>
      </c>
      <c r="E22" s="15" t="n">
        <v>1</v>
      </c>
      <c r="F22" s="15" t="n">
        <v>1</v>
      </c>
      <c r="G22" s="7" t="n">
        <v>735</v>
      </c>
      <c r="H22" s="7" t="n">
        <v>1475</v>
      </c>
      <c r="I22" s="7" t="n">
        <v>0</v>
      </c>
      <c r="J22" s="7" t="n">
        <v>1475</v>
      </c>
      <c r="K22" s="16">
        <f>IFERROR(H22/G22,"")</f>
        <v/>
      </c>
      <c r="L22" s="11" t="n">
        <v>0.96</v>
      </c>
      <c r="M22" s="17" t="n">
        <v>46195</v>
      </c>
      <c r="N22" s="5" t="inlineStr">
        <is>
          <t>own weekly scrape</t>
        </is>
      </c>
    </row>
    <row r="23">
      <c r="A23" s="5" t="inlineStr">
        <is>
          <t>Linden Mill</t>
        </is>
      </c>
      <c r="B23" s="10" t="n">
        <v>1.5</v>
      </c>
      <c r="C23" s="8" t="n">
        <v>2011</v>
      </c>
      <c r="D23" s="5" t="inlineStr">
        <is>
          <t>2BR-B</t>
        </is>
      </c>
      <c r="E23" s="15" t="n">
        <v>2</v>
      </c>
      <c r="F23" s="15" t="n">
        <v>2</v>
      </c>
      <c r="G23" s="7" t="n">
        <v>1075</v>
      </c>
      <c r="H23" s="7" t="n">
        <v>1840</v>
      </c>
      <c r="I23" s="7" t="n">
        <v>0</v>
      </c>
      <c r="J23" s="7" t="n">
        <v>1840</v>
      </c>
      <c r="K23" s="16">
        <f>IFERROR(H23/G23,"")</f>
        <v/>
      </c>
      <c r="L23" s="11" t="n">
        <v>0.96</v>
      </c>
      <c r="M23" s="17" t="n">
        <v>46195</v>
      </c>
      <c r="N23" s="5" t="inlineStr">
        <is>
          <t>own weekly scrape</t>
        </is>
      </c>
    </row>
    <row r="24">
      <c r="A24" s="5" t="inlineStr">
        <is>
          <t>Linden Mill</t>
        </is>
      </c>
      <c r="B24" s="10" t="n">
        <v>1.5</v>
      </c>
      <c r="C24" s="8" t="n">
        <v>2011</v>
      </c>
      <c r="D24" s="5" t="inlineStr">
        <is>
          <t>3BR-C</t>
        </is>
      </c>
      <c r="E24" s="15" t="n">
        <v>3</v>
      </c>
      <c r="F24" s="15" t="n">
        <v>2.5</v>
      </c>
      <c r="G24" s="7" t="n">
        <v>1355</v>
      </c>
      <c r="H24" s="7" t="n">
        <v>2195</v>
      </c>
      <c r="I24" s="7" t="n">
        <v>0</v>
      </c>
      <c r="J24" s="7" t="n">
        <v>2195</v>
      </c>
      <c r="K24" s="16">
        <f>IFERROR(H24/G24,"")</f>
        <v/>
      </c>
      <c r="L24" s="11" t="n">
        <v>0.96</v>
      </c>
      <c r="M24" s="17" t="n">
        <v>46195</v>
      </c>
      <c r="N24" s="5" t="inlineStr">
        <is>
          <t>own weekly scrape</t>
        </is>
      </c>
    </row>
    <row r="25">
      <c r="A25" s="5" t="inlineStr">
        <is>
          <t>Pinegate Commons</t>
        </is>
      </c>
      <c r="B25" s="10" t="n">
        <v>1.6</v>
      </c>
      <c r="C25" s="8" t="n">
        <v>2009</v>
      </c>
      <c r="D25" s="5" t="inlineStr">
        <is>
          <t>1BR-A</t>
        </is>
      </c>
      <c r="E25" s="15" t="n">
        <v>1</v>
      </c>
      <c r="F25" s="15" t="n">
        <v>1</v>
      </c>
      <c r="G25" s="7" t="n">
        <v>735</v>
      </c>
      <c r="H25" s="7" t="n">
        <v>1480</v>
      </c>
      <c r="I25" s="7" t="n">
        <v>45</v>
      </c>
      <c r="J25" s="7" t="n">
        <v>1435</v>
      </c>
      <c r="K25" s="16">
        <f>IFERROR(H25/G25,"")</f>
        <v/>
      </c>
      <c r="L25" s="11" t="n">
        <v>0.9399999999999999</v>
      </c>
      <c r="M25" s="17" t="n">
        <v>46195</v>
      </c>
      <c r="N25" s="5" t="inlineStr">
        <is>
          <t>own weekly scrape</t>
        </is>
      </c>
    </row>
    <row r="26">
      <c r="A26" s="5" t="inlineStr">
        <is>
          <t>Pinegate Commons</t>
        </is>
      </c>
      <c r="B26" s="10" t="n">
        <v>1.6</v>
      </c>
      <c r="C26" s="8" t="n">
        <v>2009</v>
      </c>
      <c r="D26" s="5" t="inlineStr">
        <is>
          <t>2BR-B</t>
        </is>
      </c>
      <c r="E26" s="15" t="n">
        <v>2</v>
      </c>
      <c r="F26" s="15" t="n">
        <v>2</v>
      </c>
      <c r="G26" s="7" t="n">
        <v>1075</v>
      </c>
      <c r="H26" s="7" t="n">
        <v>1845</v>
      </c>
      <c r="I26" s="7" t="n">
        <v>45</v>
      </c>
      <c r="J26" s="7" t="n">
        <v>1800</v>
      </c>
      <c r="K26" s="16">
        <f>IFERROR(H26/G26,"")</f>
        <v/>
      </c>
      <c r="L26" s="11" t="n">
        <v>0.9399999999999999</v>
      </c>
      <c r="M26" s="17" t="n">
        <v>46195</v>
      </c>
      <c r="N26" s="5" t="inlineStr">
        <is>
          <t>own weekly scrape</t>
        </is>
      </c>
    </row>
    <row r="27">
      <c r="A27" s="5" t="inlineStr">
        <is>
          <t>Quarry Flats</t>
        </is>
      </c>
      <c r="B27" s="10" t="n">
        <v>1.8</v>
      </c>
      <c r="C27" s="8" t="n">
        <v>2029</v>
      </c>
      <c r="D27" s="5" t="inlineStr">
        <is>
          <t>1BR-A</t>
        </is>
      </c>
      <c r="E27" s="15" t="n">
        <v>1</v>
      </c>
      <c r="F27" s="15" t="n">
        <v>1</v>
      </c>
      <c r="G27" s="7" t="n">
        <v>735</v>
      </c>
      <c r="H27" s="7" t="n">
        <v>1485</v>
      </c>
      <c r="I27" s="7" t="n">
        <v>0</v>
      </c>
      <c r="J27" s="7" t="n">
        <v>1485</v>
      </c>
      <c r="K27" s="16">
        <f>IFERROR(H27/G27,"")</f>
        <v/>
      </c>
      <c r="L27" s="11" t="n">
        <v>0.96</v>
      </c>
      <c r="M27" s="17" t="n">
        <v>46195</v>
      </c>
      <c r="N27" s="5" t="inlineStr">
        <is>
          <t>own weekly scrape</t>
        </is>
      </c>
    </row>
    <row r="28">
      <c r="A28" s="5" t="inlineStr">
        <is>
          <t>Quarry Flats</t>
        </is>
      </c>
      <c r="B28" s="10" t="n">
        <v>1.8</v>
      </c>
      <c r="C28" s="8" t="n">
        <v>2029</v>
      </c>
      <c r="D28" s="5" t="inlineStr">
        <is>
          <t>2BR-B</t>
        </is>
      </c>
      <c r="E28" s="15" t="n">
        <v>2</v>
      </c>
      <c r="F28" s="15" t="n">
        <v>2</v>
      </c>
      <c r="G28" s="7" t="n">
        <v>1075</v>
      </c>
      <c r="H28" s="7" t="n">
        <v>1850</v>
      </c>
      <c r="I28" s="7" t="n">
        <v>0</v>
      </c>
      <c r="J28" s="7" t="n">
        <v>1850</v>
      </c>
      <c r="K28" s="16">
        <f>IFERROR(H28/G28,"")</f>
        <v/>
      </c>
      <c r="L28" s="11" t="n">
        <v>0.96</v>
      </c>
      <c r="M28" s="17" t="n">
        <v>46195</v>
      </c>
      <c r="N28" s="5" t="inlineStr">
        <is>
          <t>own weekly scrape</t>
        </is>
      </c>
    </row>
    <row r="29">
      <c r="A29" s="5" t="inlineStr">
        <is>
          <t>Marrow Bend</t>
        </is>
      </c>
      <c r="B29" s="10" t="n">
        <v>2</v>
      </c>
      <c r="C29" s="8" t="n">
        <v>2028</v>
      </c>
      <c r="D29" s="5" t="inlineStr">
        <is>
          <t>1BR-A</t>
        </is>
      </c>
      <c r="E29" s="15" t="n">
        <v>1</v>
      </c>
      <c r="F29" s="15" t="n">
        <v>1</v>
      </c>
      <c r="G29" s="7" t="n">
        <v>735</v>
      </c>
      <c r="H29" s="7" t="n">
        <v>1490</v>
      </c>
      <c r="I29" s="7" t="n">
        <v>45</v>
      </c>
      <c r="J29" s="7" t="n">
        <v>1445</v>
      </c>
      <c r="K29" s="16">
        <f>IFERROR(H29/G29,"")</f>
        <v/>
      </c>
      <c r="L29" s="11" t="n">
        <v>0.9399999999999999</v>
      </c>
      <c r="M29" s="17" t="n">
        <v>46195</v>
      </c>
      <c r="N29" s="5" t="inlineStr">
        <is>
          <t>own weekly scrape</t>
        </is>
      </c>
    </row>
    <row r="30">
      <c r="A30" s="5" t="inlineStr">
        <is>
          <t>Marrow Bend</t>
        </is>
      </c>
      <c r="B30" s="10" t="n">
        <v>2</v>
      </c>
      <c r="C30" s="8" t="n">
        <v>2028</v>
      </c>
      <c r="D30" s="5" t="inlineStr">
        <is>
          <t>2BR-B</t>
        </is>
      </c>
      <c r="E30" s="15" t="n">
        <v>2</v>
      </c>
      <c r="F30" s="15" t="n">
        <v>2</v>
      </c>
      <c r="G30" s="7" t="n">
        <v>1075</v>
      </c>
      <c r="H30" s="7" t="n">
        <v>1855</v>
      </c>
      <c r="I30" s="7" t="n">
        <v>45</v>
      </c>
      <c r="J30" s="7" t="n">
        <v>1810</v>
      </c>
      <c r="K30" s="16">
        <f>IFERROR(H30/G30,"")</f>
        <v/>
      </c>
      <c r="L30" s="11" t="n">
        <v>0.9399999999999999</v>
      </c>
      <c r="M30" s="17" t="n">
        <v>46195</v>
      </c>
      <c r="N30" s="5" t="inlineStr">
        <is>
          <t>own weekly scrape</t>
        </is>
      </c>
    </row>
    <row r="31">
      <c r="A31" s="5" t="inlineStr">
        <is>
          <t>Marrow Bend</t>
        </is>
      </c>
      <c r="B31" s="10" t="n">
        <v>2</v>
      </c>
      <c r="C31" s="8" t="n">
        <v>2028</v>
      </c>
      <c r="D31" s="5" t="inlineStr">
        <is>
          <t>3BR-C</t>
        </is>
      </c>
      <c r="E31" s="15" t="n">
        <v>3</v>
      </c>
      <c r="F31" s="15" t="n">
        <v>2.5</v>
      </c>
      <c r="G31" s="7" t="n">
        <v>1355</v>
      </c>
      <c r="H31" s="7" t="n">
        <v>2210</v>
      </c>
      <c r="I31" s="7" t="n">
        <v>45</v>
      </c>
      <c r="J31" s="7" t="n">
        <v>2165</v>
      </c>
      <c r="K31" s="16">
        <f>IFERROR(H31/G31,"")</f>
        <v/>
      </c>
      <c r="L31" s="11" t="n">
        <v>0.9399999999999999</v>
      </c>
      <c r="M31" s="17" t="n">
        <v>46195</v>
      </c>
      <c r="N31" s="5" t="inlineStr">
        <is>
          <t>own weekly scrape</t>
        </is>
      </c>
    </row>
    <row r="32">
      <c r="A32" s="5" t="inlineStr">
        <is>
          <t>Nyland Court</t>
        </is>
      </c>
      <c r="B32" s="10" t="n">
        <v>2.2</v>
      </c>
      <c r="C32" s="8" t="n">
        <v>2016</v>
      </c>
      <c r="D32" s="5" t="inlineStr">
        <is>
          <t>1BR-A</t>
        </is>
      </c>
      <c r="E32" s="15" t="n">
        <v>1</v>
      </c>
      <c r="F32" s="15" t="n">
        <v>1</v>
      </c>
      <c r="G32" s="7" t="n">
        <v>735</v>
      </c>
      <c r="H32" s="7" t="n">
        <v>1495</v>
      </c>
      <c r="I32" s="7" t="n">
        <v>0</v>
      </c>
      <c r="J32" s="7" t="n">
        <v>1495</v>
      </c>
      <c r="K32" s="16">
        <f>IFERROR(H32/G32,"")</f>
        <v/>
      </c>
      <c r="L32" s="11" t="n">
        <v>0.96</v>
      </c>
      <c r="M32" s="17" t="n">
        <v>46195</v>
      </c>
      <c r="N32" s="5" t="inlineStr">
        <is>
          <t>own weekly scrape</t>
        </is>
      </c>
    </row>
    <row r="33">
      <c r="A33" s="5" t="inlineStr">
        <is>
          <t>Nyland Court</t>
        </is>
      </c>
      <c r="B33" s="10" t="n">
        <v>2.2</v>
      </c>
      <c r="C33" s="8" t="n">
        <v>2016</v>
      </c>
      <c r="D33" s="5" t="inlineStr">
        <is>
          <t>2BR-B</t>
        </is>
      </c>
      <c r="E33" s="15" t="n">
        <v>2</v>
      </c>
      <c r="F33" s="15" t="n">
        <v>2</v>
      </c>
      <c r="G33" s="7" t="n">
        <v>1075</v>
      </c>
      <c r="H33" s="7" t="n">
        <v>1860</v>
      </c>
      <c r="I33" s="7" t="n">
        <v>0</v>
      </c>
      <c r="J33" s="7" t="n">
        <v>1860</v>
      </c>
      <c r="K33" s="16">
        <f>IFERROR(H33/G33,"")</f>
        <v/>
      </c>
      <c r="L33" s="11" t="n">
        <v>0.96</v>
      </c>
      <c r="M33" s="17" t="n">
        <v>46195</v>
      </c>
      <c r="N33" s="5" t="inlineStr">
        <is>
          <t>own weekly scrape</t>
        </is>
      </c>
    </row>
    <row r="34">
      <c r="A34" s="5" t="inlineStr">
        <is>
          <t>Orchard Vale</t>
        </is>
      </c>
      <c r="B34" s="10" t="n">
        <v>2.4</v>
      </c>
      <c r="C34" s="8" t="n">
        <v>2023</v>
      </c>
      <c r="D34" s="5" t="inlineStr">
        <is>
          <t>1BR-A</t>
        </is>
      </c>
      <c r="E34" s="15" t="n">
        <v>1</v>
      </c>
      <c r="F34" s="15" t="n">
        <v>1</v>
      </c>
      <c r="G34" s="7" t="n">
        <v>735</v>
      </c>
      <c r="H34" s="7" t="n">
        <v>1500</v>
      </c>
      <c r="I34" s="7" t="n">
        <v>45</v>
      </c>
      <c r="J34" s="7" t="n">
        <v>1455</v>
      </c>
      <c r="K34" s="16">
        <f>IFERROR(H34/G34,"")</f>
        <v/>
      </c>
      <c r="L34" s="11" t="n">
        <v>0.9399999999999999</v>
      </c>
      <c r="M34" s="17" t="n">
        <v>46195</v>
      </c>
      <c r="N34" s="5" t="inlineStr">
        <is>
          <t>own weekly scrape</t>
        </is>
      </c>
    </row>
    <row r="35">
      <c r="A35" s="5" t="inlineStr">
        <is>
          <t>Orchard Vale</t>
        </is>
      </c>
      <c r="B35" s="10" t="n">
        <v>2.4</v>
      </c>
      <c r="C35" s="8" t="n">
        <v>2023</v>
      </c>
      <c r="D35" s="5" t="inlineStr">
        <is>
          <t>2BR-B</t>
        </is>
      </c>
      <c r="E35" s="15" t="n">
        <v>2</v>
      </c>
      <c r="F35" s="15" t="n">
        <v>2</v>
      </c>
      <c r="G35" s="7" t="n">
        <v>1075</v>
      </c>
      <c r="H35" s="7" t="n">
        <v>1865</v>
      </c>
      <c r="I35" s="7" t="n">
        <v>45</v>
      </c>
      <c r="J35" s="7" t="n">
        <v>1820</v>
      </c>
      <c r="K35" s="16">
        <f>IFERROR(H35/G35,"")</f>
        <v/>
      </c>
      <c r="L35" s="11" t="n">
        <v>0.9399999999999999</v>
      </c>
      <c r="M35" s="17" t="n">
        <v>46195</v>
      </c>
      <c r="N35" s="5" t="inlineStr">
        <is>
          <t>own weekly scrape</t>
        </is>
      </c>
    </row>
    <row r="36"/>
    <row r="37">
      <c r="A37" s="4" t="inlineStr">
        <is>
          <t>Tier 3 — Also nearby: 4 tracked communities inside the radius that are not comps, and why</t>
        </is>
      </c>
      <c r="B37" s="4" t="n"/>
      <c r="C37" s="4" t="n"/>
      <c r="D37" s="4" t="n"/>
      <c r="E37" s="4" t="n"/>
      <c r="F37" s="4" t="n"/>
    </row>
    <row r="38">
      <c r="A38" s="5" t="inlineStr">
        <is>
          <t>Identity only, by design. No rent is shown for these — a rent on a row that did not pass the comp criteria reads as a comp.</t>
        </is>
      </c>
    </row>
    <row r="39">
      <c r="A39" s="14" t="inlineStr">
        <is>
          <t>Community</t>
        </is>
      </c>
      <c r="B39" s="14" t="inlineStr">
        <is>
          <t>Address</t>
        </is>
      </c>
      <c r="C39" s="14" t="inlineStr">
        <is>
          <t>Distance (mi)</t>
        </is>
      </c>
      <c r="D39" s="14" t="inlineStr">
        <is>
          <t>Units</t>
        </is>
      </c>
      <c r="E39" s="14" t="inlineStr">
        <is>
          <t>Product</t>
        </is>
      </c>
      <c r="F39" s="14" t="inlineStr">
        <is>
          <t>Year built</t>
        </is>
      </c>
      <c r="G39" s="14" t="inlineStr">
        <is>
          <t>Not a comp because</t>
        </is>
      </c>
    </row>
    <row r="40">
      <c r="A40" s="5" t="inlineStr">
        <is>
          <t>Rushmere Townhomes</t>
        </is>
      </c>
      <c r="B40" s="5" t="inlineStr">
        <is>
          <t>375 Sample Street, Demo City</t>
        </is>
      </c>
      <c r="C40" s="10" t="n">
        <v>0.5</v>
      </c>
      <c r="D40" s="7" t="n">
        <v>96</v>
      </c>
      <c r="E40" s="5" t="inlineStr">
        <is>
          <t>bfr</t>
        </is>
      </c>
      <c r="F40" s="8" t="n">
        <v>2022</v>
      </c>
      <c r="G40" s="5" t="inlineStr">
        <is>
          <t>different product: tracked as bfr, subject is MF</t>
        </is>
      </c>
    </row>
    <row r="41">
      <c r="A41" s="5" t="inlineStr">
        <is>
          <t>Stonecrest Lofts</t>
        </is>
      </c>
      <c r="B41" s="5" t="inlineStr">
        <is>
          <t>400 Sample Street, Demo City</t>
        </is>
      </c>
      <c r="C41" s="10" t="n">
        <v>0.8</v>
      </c>
      <c r="D41" s="7" t="n">
        <v>132</v>
      </c>
      <c r="E41" s="5" t="inlineStr">
        <is>
          <t>mf</t>
        </is>
      </c>
      <c r="F41" s="8" t="n">
        <v>1998</v>
      </c>
      <c r="G41" s="5" t="inlineStr">
        <is>
          <t>vintage 1998 is 21 years from the subject's 2019, outside the +/-10-year band</t>
        </is>
      </c>
    </row>
    <row r="42">
      <c r="A42" s="5" t="inlineStr">
        <is>
          <t>Tallow Creek</t>
        </is>
      </c>
      <c r="B42" s="5" t="inlineStr">
        <is>
          <t>425 Sample Street, Demo City</t>
        </is>
      </c>
      <c r="C42" s="10" t="n">
        <v>1</v>
      </c>
      <c r="D42" s="7" t="n">
        <v>144</v>
      </c>
      <c r="E42" s="5" t="inlineStr">
        <is>
          <t>mf</t>
        </is>
      </c>
      <c r="F42" s="8" t="n">
        <v>2018</v>
      </c>
      <c r="G42" s="5" t="inlineStr">
        <is>
          <t>no quoted rent in the latest scrape of this community</t>
        </is>
      </c>
    </row>
    <row r="43">
      <c r="A43" s="5" t="inlineStr">
        <is>
          <t>Underhill Residences</t>
        </is>
      </c>
      <c r="B43" s="5" t="inlineStr">
        <is>
          <t>450 Sample Street, Demo City</t>
        </is>
      </c>
      <c r="C43" s="10" t="n">
        <v>1.2</v>
      </c>
      <c r="D43" s="7" t="n">
        <v>88</v>
      </c>
      <c r="E43" s="5" t="inlineStr">
        <is>
          <t>mf</t>
        </is>
      </c>
      <c r="F43" s="8" t="n">
        <v>2020</v>
      </c>
      <c r="G43" s="5" t="inlineStr">
        <is>
          <t>excluded from comp sets by the tracker: income_restricted</t>
        </is>
      </c>
    </row>
    <row r="44"/>
    <row r="45">
      <c r="A45" s="4" t="inlineStr">
        <is>
          <t>By bed count — like for like</t>
        </is>
      </c>
      <c r="B45" s="4" t="n"/>
      <c r="C45" s="4" t="n"/>
      <c r="D45" s="4" t="n"/>
      <c r="E45" s="4" t="n"/>
    </row>
    <row r="46">
      <c r="A46" s="14" t="inlineStr">
        <is>
          <t>Beds</t>
        </is>
      </c>
      <c r="B46" s="14" t="inlineStr">
        <is>
          <t>Communities</t>
        </is>
      </c>
      <c r="C46" s="14" t="inlineStr">
        <is>
          <t>Plans</t>
        </is>
      </c>
      <c r="D46" s="14" t="inlineStr">
        <is>
          <t>Avg asking</t>
        </is>
      </c>
      <c r="E46" s="14" t="inlineStr">
        <is>
          <t>Avg net effective</t>
        </is>
      </c>
    </row>
    <row r="47">
      <c r="A47" s="5" t="inlineStr">
        <is>
          <t>1 bed</t>
        </is>
      </c>
      <c r="B47" s="7" t="n">
        <v>11</v>
      </c>
      <c r="C47" s="7" t="n">
        <v>11</v>
      </c>
      <c r="D47" s="7" t="n">
        <v>1475</v>
      </c>
      <c r="E47" s="7" t="n">
        <v>1450.454545454545</v>
      </c>
    </row>
    <row r="48">
      <c r="A48" s="5" t="inlineStr">
        <is>
          <t>2 bed</t>
        </is>
      </c>
      <c r="B48" s="7" t="n">
        <v>11</v>
      </c>
      <c r="C48" s="7" t="n">
        <v>11</v>
      </c>
      <c r="D48" s="7" t="n">
        <v>1840</v>
      </c>
      <c r="E48" s="7" t="n">
        <v>1815.454545454545</v>
      </c>
    </row>
    <row r="49">
      <c r="A49" s="5" t="inlineStr">
        <is>
          <t>3 bed</t>
        </is>
      </c>
      <c r="B49" s="7" t="n">
        <v>3</v>
      </c>
      <c r="C49" s="7" t="n">
        <v>3</v>
      </c>
      <c r="D49" s="7" t="n">
        <v>2195</v>
      </c>
      <c r="E49" s="7" t="n">
        <v>2165</v>
      </c>
    </row>
    <row r="50"/>
    <row r="51">
      <c r="A51" s="4" t="inlineStr">
        <is>
          <t>Subject versus comp set — detailed tiers only</t>
        </is>
      </c>
      <c r="B51" s="4" t="n"/>
      <c r="C51" s="4" t="n"/>
      <c r="D51" s="4" t="n"/>
    </row>
    <row r="52">
      <c r="A52" s="5" t="inlineStr">
        <is>
          <t>Subject market rent</t>
        </is>
      </c>
      <c r="B52" s="7" t="n">
        <v>1834.78</v>
      </c>
      <c r="C52" s="6" t="inlineStr">
        <is>
          <t>Unit-weighted market rent for model, whole property.</t>
        </is>
      </c>
    </row>
    <row r="53">
      <c r="A53" s="5" t="inlineStr">
        <is>
          <t>Comp-set average asking</t>
        </is>
      </c>
      <c r="B53" s="7">
        <f>IFERROR(AVERAGE(H8:H18,H22:H35),"")</f>
        <v/>
      </c>
      <c r="C53" s="6" t="inlineStr">
        <is>
          <t>Over 11 communities in the detailed tiers (top 5 plus next 15) — never the whole radius.</t>
        </is>
      </c>
    </row>
    <row r="54">
      <c r="A54" s="5" t="inlineStr">
        <is>
          <t>Comp-set average net effective</t>
        </is>
      </c>
      <c r="B54" s="7">
        <f>IFERROR(AVERAGE(J8:J18,J22:J35),"")</f>
        <v/>
      </c>
    </row>
    <row r="55">
      <c r="A55" s="5" t="inlineStr">
        <is>
          <t>Comp set, mix-matched</t>
        </is>
      </c>
      <c r="B55" s="7" t="n">
        <v>1767.409090909091</v>
      </c>
      <c r="C55" s="6" t="inlineStr">
        <is>
          <t>Each bed count's comp net-effective weighted by the subject's own unit mix, so both sides describe the same product.</t>
        </is>
      </c>
    </row>
    <row r="56">
      <c r="A56" s="5" t="inlineStr">
        <is>
          <t>Subject rent, same bed counts</t>
        </is>
      </c>
      <c r="B56" s="7" t="n">
        <v>1834.777777777778</v>
      </c>
      <c r="C56" s="6" t="inlineStr">
        <is>
          <t>Restricted to the bed counts the comp set covers: [1, 2, 3].</t>
        </is>
      </c>
    </row>
    <row r="57">
      <c r="A57" s="5" t="inlineStr">
        <is>
          <t>Mix coverage</t>
        </is>
      </c>
      <c r="B57" s="11" t="n">
        <v>1</v>
      </c>
      <c r="C57" s="6" t="inlineStr">
        <is>
          <t>Share of the subject's units actually compared, by bed count and priced plan.</t>
        </is>
      </c>
    </row>
    <row r="58">
      <c r="A58" s="5" t="inlineStr">
        <is>
          <t>Subject vs comp set (mix-matched)</t>
        </is>
      </c>
      <c r="B58" s="11">
        <f>IFERROR(B56/B55-1,"")</f>
        <v/>
      </c>
      <c r="C58" s="6" t="inlineStr">
        <is>
          <t>Negative means the subject is underwritten BELOW the market — mark-to-market room rather than a stretch.</t>
        </is>
      </c>
    </row>
    <row r="59"/>
    <row r="60">
      <c r="A60" s="4" t="inlineStr">
        <is>
          <t>Two comp sets, selected identically except for the vintage test</t>
        </is>
      </c>
      <c r="B60" s="4" t="n"/>
      <c r="C60" s="4" t="n"/>
      <c r="D60" s="4" t="n"/>
      <c r="E60" s="4" t="n"/>
    </row>
    <row r="61">
      <c r="A61" s="6" t="inlineStr">
        <is>
          <t>Held fixed in both: candidate pool, product test, tracker comp exclusions, radius, closest-20 cap, per-community rent rules, mix weighting. Varied: the +/-10-year vintage test only.</t>
        </is>
      </c>
    </row>
    <row r="62">
      <c r="A62" s="14" t="inlineStr">
        <is>
          <t>Comp set</t>
        </is>
      </c>
      <c r="B62" s="14" t="inlineStr">
        <is>
          <t>Communities</t>
        </is>
      </c>
      <c r="C62" s="14" t="inlineStr">
        <is>
          <t>Vintages</t>
        </is>
      </c>
      <c r="D62" s="14" t="inlineStr">
        <is>
          <t>Comp net effective</t>
        </is>
      </c>
      <c r="E62" s="14" t="inlineStr">
        <is>
          <t>Subject reads</t>
        </is>
      </c>
    </row>
    <row r="63">
      <c r="A63" s="5" t="inlineStr">
        <is>
          <t>A — vintage test ON</t>
        </is>
      </c>
      <c r="B63" s="7" t="n">
        <v>11</v>
      </c>
      <c r="C63" s="5" t="inlineStr">
        <is>
          <t>2009–2029</t>
        </is>
      </c>
      <c r="D63" s="7" t="n">
        <v>1767.409090909091</v>
      </c>
      <c r="E63" s="11" t="n">
        <v>0.03811720060466306</v>
      </c>
    </row>
    <row r="64">
      <c r="A64" s="5" t="inlineStr">
        <is>
          <t>B — vintage test OFF</t>
        </is>
      </c>
      <c r="B64" s="7" t="n">
        <v>12</v>
      </c>
      <c r="C64" s="5" t="inlineStr">
        <is>
          <t>1998–2029</t>
        </is>
      </c>
      <c r="D64" s="7" t="n">
        <v>1957.821666666666</v>
      </c>
      <c r="E64" s="11" t="n">
        <v>-0.06284734252552215</v>
      </c>
    </row>
    <row r="65">
      <c r="A65" s="18" t="inlineStr">
        <is>
          <t>Difference between the two sets</t>
        </is>
      </c>
      <c r="B65" s="19" t="n"/>
      <c r="C65" s="19" t="n"/>
      <c r="D65" s="20" t="n">
        <v>190.4125757575757</v>
      </c>
      <c r="E65" s="21" t="n">
        <v>0.1009645431301852</v>
      </c>
    </row>
    <row r="66"/>
    <row r="67">
      <c r="A67" s="5" t="inlineStr">
        <is>
          <t>In B but not A</t>
        </is>
      </c>
      <c r="B67" s="5" t="inlineStr">
        <is>
          <t>Stonecrest Lofts</t>
        </is>
      </c>
    </row>
    <row r="68">
      <c r="A68" s="5" t="inlineStr">
        <is>
          <t>In A but not B</t>
        </is>
      </c>
      <c r="B68" s="5" t="inlineStr">
        <is>
          <t>—</t>
        </is>
      </c>
    </row>
    <row r="69">
      <c r="A69" s="6" t="inlineStr">
        <is>
          <t>Both figures are weighted by this property's own unit mix and computed over the same bed counts, so the two rows describe the same product. This is what these two sets measured on this date; it is not an estimate of what vintage is worth in this market.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36"/>
  <sheetViews>
    <sheetView workbookViewId="0">
      <selection activeCell="A1" sqref="A1"/>
    </sheetView>
  </sheetViews>
  <sheetFormatPr baseColWidth="8" defaultRowHeight="15"/>
  <cols>
    <col width="42" customWidth="1" min="1" max="1"/>
    <col width="42" customWidth="1" min="2" max="2"/>
    <col width="42" customWidth="1" min="3" max="3"/>
    <col width="42" customWidth="1" min="4" max="4"/>
  </cols>
  <sheetData>
    <row r="1">
      <c r="A1" s="1" t="inlineStr">
        <is>
          <t>Property tax</t>
        </is>
      </c>
    </row>
    <row r="2">
      <c r="A2" s="2" t="inlineStr">
        <is>
          <t>Fixture Park — as of 2026-06-30</t>
        </is>
      </c>
    </row>
    <row r="3">
      <c r="A3" s="2" t="inlineStr">
        <is>
          <t>Rates as actually billed, not statutory or effective. The current-year block is checked against the county's own bill; the assumption block is what a buyer should carry at the illustrative price.</t>
        </is>
      </c>
    </row>
    <row r="4">
      <c r="A4" s="3" t="n"/>
      <c r="B4" s="3" t="n"/>
      <c r="C4" s="3" t="n"/>
      <c r="D4" s="3" t="n"/>
      <c r="E4" s="3" t="n"/>
      <c r="F4" s="3" t="n"/>
      <c r="G4" s="3" t="n"/>
      <c r="H4" s="3" t="n"/>
    </row>
    <row r="5">
      <c r="A5" s="4" t="inlineStr">
        <is>
          <t>The rate, as billed</t>
        </is>
      </c>
      <c r="B5" s="4" t="n"/>
      <c r="C5" s="4" t="n"/>
      <c r="D5" s="4" t="n"/>
    </row>
    <row r="6">
      <c r="A6" s="5" t="inlineStr">
        <is>
          <t>Parcel</t>
        </is>
      </c>
      <c r="B6" s="5" t="inlineStr">
        <is>
          <t>SYN-000-00-000</t>
        </is>
      </c>
      <c r="D6" s="6" t="inlineStr">
        <is>
          <t>Synthetic county tax record — Parcel record</t>
        </is>
      </c>
    </row>
    <row r="7">
      <c r="A7" s="5" t="inlineStr">
        <is>
          <t>Tax area code</t>
        </is>
      </c>
      <c r="B7" s="5" t="inlineStr">
        <is>
          <t>SYN-0000</t>
        </is>
      </c>
      <c r="D7" s="6" t="inlineStr">
        <is>
          <t>Synthetic county tax record — Rate table</t>
        </is>
      </c>
    </row>
    <row r="8">
      <c r="A8" s="5" t="inlineStr">
        <is>
          <t>Combined rate (per $100 of assessed value)</t>
        </is>
      </c>
      <c r="B8" s="10" t="n">
        <v>2.148</v>
      </c>
      <c r="C8" s="6" t="inlineStr">
        <is>
          <t>Rate as actually billed — not a statutory or effective rate.</t>
        </is>
      </c>
      <c r="D8" s="6" t="inlineStr">
        <is>
          <t>Synthetic county tax record — Rate table, synthetic district</t>
        </is>
      </c>
    </row>
    <row r="9">
      <c r="A9" s="5" t="inlineStr">
        <is>
          <t>Assessment ratio (legal class)</t>
        </is>
      </c>
      <c r="B9" s="11" t="n">
        <v>1</v>
      </c>
      <c r="D9" s="6" t="inlineStr">
        <is>
          <t>Synthetic county tax record — Rate table</t>
        </is>
      </c>
    </row>
    <row r="10">
      <c r="A10" s="5" t="inlineStr">
        <is>
          <t>Rate evidence</t>
        </is>
      </c>
      <c r="B10" s="12" t="n"/>
      <c r="C10" s="6" t="inlineStr">
        <is>
          <t>Rate as billed, 2.148 per $100 of assessed value, read from the synthetic county bill for the 2025 tax year.</t>
        </is>
      </c>
    </row>
    <row r="11"/>
    <row r="12">
      <c r="A12" s="4" t="inlineStr">
        <is>
          <t>Current year — computed, then checked against the bill</t>
        </is>
      </c>
      <c r="B12" s="4" t="n"/>
      <c r="C12" s="4" t="n"/>
      <c r="D12" s="4" t="n"/>
    </row>
    <row r="13">
      <c r="A13" s="5" t="inlineStr">
        <is>
          <t>Assessed-value basis</t>
        </is>
      </c>
      <c r="B13" s="7" t="n">
        <v>23000000</v>
      </c>
      <c r="C13" s="6" t="inlineStr">
        <is>
          <t>Assessed value (synthetic)</t>
        </is>
      </c>
      <c r="D13" s="6" t="inlineStr">
        <is>
          <t>Synthetic county tax record — Valuation notice</t>
        </is>
      </c>
    </row>
    <row r="14">
      <c r="A14" s="5" t="inlineStr">
        <is>
          <t>Assessment ratio</t>
        </is>
      </c>
      <c r="B14" s="11" t="n">
        <v>1</v>
      </c>
    </row>
    <row r="15">
      <c r="A15" s="5" t="inlineStr">
        <is>
          <t>Assessed value</t>
        </is>
      </c>
      <c r="B15" s="7">
        <f>B13*B14</f>
        <v/>
      </c>
      <c r="C15" s="6" t="inlineStr">
        <is>
          <t>Basis times the legal-class ratio.</t>
        </is>
      </c>
    </row>
    <row r="16">
      <c r="A16" s="5" t="inlineStr">
        <is>
          <t>Combined rate</t>
        </is>
      </c>
      <c r="B16" s="10" t="n">
        <v>2.148</v>
      </c>
    </row>
    <row r="17">
      <c r="A17" s="5" t="inlineStr">
        <is>
          <t>Rate divisor (per)</t>
        </is>
      </c>
      <c r="B17" s="7" t="n">
        <v>100</v>
      </c>
      <c r="C17" s="6" t="inlineStr">
        <is>
          <t>The rate's unit. Never defaulted: it decides whether the rate is per $100 or per $1,000.</t>
        </is>
      </c>
    </row>
    <row r="18">
      <c r="A18" s="5" t="inlineStr">
        <is>
          <t>Exemption</t>
        </is>
      </c>
      <c r="B18" s="7" t="n">
        <v>0</v>
      </c>
      <c r="D18" s="6" t="inlineStr">
        <is>
          <t>Synthetic county tax record — Valuation notice</t>
        </is>
      </c>
    </row>
    <row r="19">
      <c r="A19" s="5" t="inlineStr">
        <is>
          <t>Computed annual tax</t>
        </is>
      </c>
      <c r="B19" s="7">
        <f>IF(AND(ISNUMBER(B15),ISNUMBER(B16),ISNUMBER(B17)),MAX(0,B15*B16/B17-B18),"MISSING")</f>
        <v/>
      </c>
      <c r="C19" s="6" t="inlineStr">
        <is>
          <t>Assessed value times rate over the divisor, less any exemption. A missing divisor reads MISSING rather than assuming one.</t>
        </is>
      </c>
    </row>
    <row r="20">
      <c r="A20" s="5" t="inlineStr">
        <is>
          <t>County billed amount</t>
        </is>
      </c>
      <c r="B20" s="7" t="n">
        <v>494040</v>
      </c>
      <c r="C20" s="6" t="inlineStr">
        <is>
          <t>As billed for 2025.</t>
        </is>
      </c>
      <c r="D20" s="6" t="inlineStr">
        <is>
          <t>Synthetic county tax record — Tax bill</t>
        </is>
      </c>
    </row>
    <row r="21">
      <c r="A21" s="5" t="inlineStr">
        <is>
          <t>Computed less billed</t>
        </is>
      </c>
      <c r="B21" s="7">
        <f>IF(AND(ISNUMBER(B19),ISNUMBER(B20)),B19-B20,"NOT CHECKED")</f>
        <v/>
      </c>
      <c r="C21" s="6" t="inlineStr">
        <is>
          <t>Guarded: a missing input renders NOT CHECKED rather than a difference of zero.</t>
        </is>
      </c>
    </row>
    <row r="22">
      <c r="A22" s="5" t="inlineStr">
        <is>
          <t>Check</t>
        </is>
      </c>
      <c r="B22" s="5" t="inlineStr">
        <is>
          <t>ties</t>
        </is>
      </c>
      <c r="C22" s="6" t="inlineStr">
        <is>
          <t>Ties within 2% of the billed figure.</t>
        </is>
      </c>
    </row>
    <row r="23"/>
    <row r="24">
      <c r="A24" s="4" t="inlineStr">
        <is>
          <t>Underwriting assumption at the illustrative price</t>
        </is>
      </c>
      <c r="B24" s="4" t="n"/>
      <c r="C24" s="4" t="n"/>
      <c r="D24" s="4" t="n"/>
    </row>
    <row r="25">
      <c r="A25" s="5" t="inlineStr">
        <is>
          <t>State</t>
        </is>
      </c>
      <c r="B25" s="5" t="inlineStr">
        <is>
          <t>TX</t>
        </is>
      </c>
    </row>
    <row r="26">
      <c r="A26" s="5" t="inlineStr">
        <is>
          <t>Does the basis reset on sale?</t>
        </is>
      </c>
      <c r="B26" s="5" t="inlineStr">
        <is>
          <t>Yes</t>
        </is>
      </c>
      <c r="C26" s="6" t="inlineStr">
        <is>
          <t>TX reassesses toward the transaction price, so the generic pattern applies: assessed value is the purchase price times the statutory assessment ratio.</t>
        </is>
      </c>
    </row>
    <row r="27">
      <c r="A27" s="5" t="inlineStr">
        <is>
          <t>Illustrative purchase price (illustrative)</t>
        </is>
      </c>
      <c r="B27" s="7" t="n">
        <v>38700000</v>
      </c>
    </row>
    <row r="28">
      <c r="A28" s="5" t="inlineStr">
        <is>
          <t>Year-one full value</t>
        </is>
      </c>
      <c r="B28" s="7" t="n">
        <v>38700000</v>
      </c>
      <c r="C28" s="6" t="inlineStr">
        <is>
          <t>Purchase price (the transaction resets the basis)</t>
        </is>
      </c>
    </row>
    <row r="29">
      <c r="A29" s="5" t="inlineStr">
        <is>
          <t>Year-one assessed value</t>
        </is>
      </c>
      <c r="B29" s="7" t="n">
        <v>38700000</v>
      </c>
      <c r="C29" s="6" t="inlineStr">
        <is>
          <t>Assessed value = full value x assessment ratio</t>
        </is>
      </c>
    </row>
    <row r="30">
      <c r="A30" s="5" t="inlineStr">
        <is>
          <t>Year-one tax (illustrative)</t>
        </is>
      </c>
      <c r="B30" s="7" t="n">
        <v>831276.0000000001</v>
      </c>
      <c r="C30" s="6" t="inlineStr">
        <is>
          <t>The figure to carry into the model.</t>
        </is>
      </c>
    </row>
    <row r="31">
      <c r="A31" s="5" t="inlineStr">
        <is>
          <t>Year-one tax per unit (illustrative)</t>
        </is>
      </c>
      <c r="B31" s="7" t="n">
        <v>4618.200000000001</v>
      </c>
    </row>
    <row r="32"/>
    <row r="33">
      <c r="A33" s="4" t="inlineStr">
        <is>
          <t>What the generic shortcut would have said</t>
        </is>
      </c>
      <c r="B33" s="4" t="n"/>
      <c r="C33" s="4" t="n"/>
      <c r="D33" s="4" t="n"/>
    </row>
    <row r="34">
      <c r="A34" s="5" t="inlineStr">
        <is>
          <t>Assessed value if it reset to the price</t>
        </is>
      </c>
      <c r="B34" s="7" t="n">
        <v>38700000</v>
      </c>
      <c r="C34" s="6" t="inlineStr">
        <is>
          <t>Purchase price times the assessment ratio — the pattern that holds in most states.</t>
        </is>
      </c>
    </row>
    <row r="35">
      <c r="A35" s="5" t="inlineStr">
        <is>
          <t>Tax on that basis</t>
        </is>
      </c>
      <c r="B35" s="7" t="n">
        <v>831276.0000000001</v>
      </c>
    </row>
    <row r="36">
      <c r="A36" s="5" t="inlineStr">
        <is>
          <t>Overstatement versus the correct approach</t>
        </is>
      </c>
      <c r="B36" s="22" t="n">
        <v>1</v>
      </c>
      <c r="C36" s="6" t="inlineStr">
        <is>
          <t>Shown because the size of the error is the point. Carrying the generic pattern into an Arizona model does not shade the answer, it changes it: a tax line this far out fails a deal that works.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86"/>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42" customWidth="1" min="1" max="1"/>
    <col width="14" customWidth="1" min="2" max="2"/>
    <col width="14" customWidth="1" min="3" max="3"/>
    <col width="14" customWidth="1" min="4" max="4"/>
    <col width="14" customWidth="1" min="5" max="5"/>
    <col width="14" customWidth="1" min="6" max="6"/>
    <col width="14" customWidth="1" min="7" max="7"/>
    <col width="14" customWidth="1" min="8" max="8"/>
    <col width="46" customWidth="1" min="9" max="9"/>
  </cols>
  <sheetData>
    <row r="1">
      <c r="A1" s="1" t="inlineStr">
        <is>
          <t>Demand</t>
        </is>
      </c>
    </row>
    <row r="2">
      <c r="A2" s="2" t="inlineStr">
        <is>
          <t>Fixture Park — as of 2026-06-30</t>
        </is>
      </c>
    </row>
    <row r="3">
      <c r="A3" s="2" t="inlineStr">
        <is>
          <t>Synthetic ring demographics in the shape the real engine produces: ACS 5-year, a 2020 decennial baseline, LODES workplace counts and BLS metro series. All public sources; no licensed provider.</t>
        </is>
      </c>
    </row>
    <row r="4">
      <c r="A4" s="3" t="n"/>
      <c r="B4" s="3" t="n"/>
      <c r="C4" s="3" t="n"/>
      <c r="D4" s="3" t="n"/>
      <c r="E4" s="3" t="n"/>
      <c r="F4" s="3" t="n"/>
      <c r="G4" s="3" t="n"/>
      <c r="H4" s="3" t="n"/>
    </row>
    <row r="5" ht="46" customHeight="1">
      <c r="A5" s="6" t="inlineStr">
        <is>
          <t>Read this before the 1-mile column: The 1-mile column overstates levels. Ring membership is decided by each census block group's internal point and then the whole block group is counted, so at 1 mile a single large block group can sit mostly outside the ring and still be counted whole. Measured against a commercial source, 1-mile population reads roughly 2.3x and households roughly 1.9x too high; the 3-, 5- and 10-mile columns do not have this problem. Read the 1-mile column for mix and shares, which are ratios and survive the overcount, and read levels off the 3-mile column.</t>
        </is>
      </c>
    </row>
    <row r="7">
      <c r="A7" s="4" t="inlineStr">
        <is>
          <t>Households</t>
        </is>
      </c>
      <c r="B7" s="4" t="n"/>
      <c r="C7" s="4" t="n"/>
      <c r="D7" s="4" t="n"/>
      <c r="E7" s="4" t="n"/>
      <c r="F7" s="4" t="n"/>
      <c r="G7" s="4" t="n"/>
      <c r="H7" s="4" t="n"/>
    </row>
    <row r="8">
      <c r="A8" s="6" t="inlineStr">
        <is>
          <t>2020 Census baseline, 2024 ACS actual, and a 2026 projection.</t>
        </is>
      </c>
    </row>
    <row r="9">
      <c r="A9" s="14" t="inlineStr"/>
      <c r="B9" s="14" t="inlineStr">
        <is>
          <t>1 mi</t>
        </is>
      </c>
      <c r="C9" s="14" t="inlineStr">
        <is>
          <t>3 mi</t>
        </is>
      </c>
      <c r="D9" s="14" t="inlineStr">
        <is>
          <t>5 mi</t>
        </is>
      </c>
      <c r="E9" s="14" t="inlineStr">
        <is>
          <t>10 mi</t>
        </is>
      </c>
      <c r="F9" s="14" t="inlineStr">
        <is>
          <t>Demo MSA</t>
        </is>
      </c>
      <c r="G9" s="14" t="inlineStr">
        <is>
          <t>Demo State</t>
        </is>
      </c>
      <c r="H9" s="14" t="inlineStr">
        <is>
          <t>U.S.</t>
        </is>
      </c>
    </row>
    <row r="10">
      <c r="A10" s="5" t="inlineStr">
        <is>
          <t>Households (2020 Census)</t>
        </is>
      </c>
      <c r="B10" s="7" t="n">
        <v>3780</v>
      </c>
      <c r="C10" s="7" t="n">
        <v>20520</v>
      </c>
      <c r="D10" s="7" t="n">
        <v>49680</v>
      </c>
      <c r="E10" s="7" t="n">
        <v>146700</v>
      </c>
      <c r="F10" s="7" t="n">
        <v>774000</v>
      </c>
      <c r="G10" s="7" t="n">
        <v>1170000</v>
      </c>
      <c r="H10" s="7" t="n">
        <v>54000000</v>
      </c>
    </row>
    <row r="11">
      <c r="A11" s="5" t="inlineStr">
        <is>
          <t>Households (2024 actual)</t>
        </is>
      </c>
      <c r="B11" s="7" t="n">
        <v>4011</v>
      </c>
      <c r="C11" s="7" t="n">
        <v>21774</v>
      </c>
      <c r="D11" s="7" t="n">
        <v>52716</v>
      </c>
      <c r="E11" s="7" t="n">
        <v>155665</v>
      </c>
      <c r="F11" s="7" t="n">
        <v>821300</v>
      </c>
      <c r="G11" s="7" t="n">
        <v>1241500</v>
      </c>
      <c r="H11" s="7" t="n">
        <v>57300000</v>
      </c>
    </row>
    <row r="12">
      <c r="A12" s="5" t="inlineStr">
        <is>
          <t>Growth 2020 to 2024</t>
        </is>
      </c>
      <c r="B12" s="11" t="n">
        <v>0.0611</v>
      </c>
      <c r="C12" s="11" t="n">
        <v>0.0611</v>
      </c>
      <c r="D12" s="11" t="n">
        <v>0.0611</v>
      </c>
      <c r="E12" s="11" t="n">
        <v>0.0611</v>
      </c>
      <c r="F12" s="11" t="n">
        <v>0.0611</v>
      </c>
      <c r="G12" s="11" t="n">
        <v>0.0611</v>
      </c>
      <c r="H12" s="11" t="n">
        <v>0.0611</v>
      </c>
    </row>
    <row r="13">
      <c r="A13" s="5" t="inlineStr">
        <is>
          <t>Est. annual growth rate (to 2026)</t>
        </is>
      </c>
      <c r="B13" s="9" t="n">
        <v>0.0225</v>
      </c>
      <c r="C13" s="12" t="n"/>
      <c r="D13" s="12" t="n"/>
      <c r="E13" s="12" t="n"/>
      <c r="F13" s="12" t="n"/>
      <c r="G13" s="12" t="n"/>
      <c r="H13" s="12" t="n"/>
      <c r="I13" s="2" t="inlineStr">
        <is>
          <t>An assumption, not a measurement.</t>
        </is>
      </c>
    </row>
    <row r="14">
      <c r="A14" s="5" t="inlineStr">
        <is>
          <t>Households (2026 est.)</t>
        </is>
      </c>
      <c r="B14" s="7" t="n">
        <v>4194</v>
      </c>
      <c r="C14" s="7" t="n">
        <v>22765</v>
      </c>
      <c r="D14" s="7" t="n">
        <v>55115</v>
      </c>
      <c r="E14" s="7" t="n">
        <v>162749</v>
      </c>
      <c r="F14" s="7" t="n">
        <v>858674</v>
      </c>
      <c r="G14" s="7" t="n">
        <v>1297996</v>
      </c>
      <c r="H14" s="7" t="n">
        <v>59907508</v>
      </c>
    </row>
    <row r="16">
      <c r="A16" s="4" t="inlineStr">
        <is>
          <t>Population</t>
        </is>
      </c>
      <c r="B16" s="4" t="n"/>
      <c r="C16" s="4" t="n"/>
      <c r="D16" s="4" t="n"/>
      <c r="E16" s="4" t="n"/>
      <c r="F16" s="4" t="n"/>
      <c r="G16" s="4" t="n"/>
      <c r="H16" s="4" t="n"/>
    </row>
    <row r="17">
      <c r="A17" s="14" t="inlineStr"/>
      <c r="B17" s="14" t="inlineStr">
        <is>
          <t>1 mi</t>
        </is>
      </c>
      <c r="C17" s="14" t="inlineStr">
        <is>
          <t>3 mi</t>
        </is>
      </c>
      <c r="D17" s="14" t="inlineStr">
        <is>
          <t>5 mi</t>
        </is>
      </c>
      <c r="E17" s="14" t="inlineStr">
        <is>
          <t>10 mi</t>
        </is>
      </c>
      <c r="F17" s="14" t="inlineStr">
        <is>
          <t>Demo MSA</t>
        </is>
      </c>
      <c r="G17" s="14" t="inlineStr">
        <is>
          <t>Demo State</t>
        </is>
      </c>
      <c r="H17" s="14" t="inlineStr">
        <is>
          <t>U.S.</t>
        </is>
      </c>
    </row>
    <row r="18">
      <c r="A18" s="5" t="inlineStr">
        <is>
          <t>Population (2020 Census)</t>
        </is>
      </c>
      <c r="B18" s="7" t="n">
        <v>9555</v>
      </c>
      <c r="C18" s="7" t="n">
        <v>51870</v>
      </c>
      <c r="D18" s="7" t="n">
        <v>125580</v>
      </c>
      <c r="E18" s="7" t="n">
        <v>370825</v>
      </c>
      <c r="F18" s="7" t="n">
        <v>1956500</v>
      </c>
      <c r="G18" s="7" t="n">
        <v>2957500</v>
      </c>
      <c r="H18" s="7" t="n">
        <v>136500000</v>
      </c>
    </row>
    <row r="19">
      <c r="A19" s="5" t="inlineStr">
        <is>
          <t>Population (2024 actual)</t>
        </is>
      </c>
      <c r="B19" s="7" t="n">
        <v>10017</v>
      </c>
      <c r="C19" s="7" t="n">
        <v>54378</v>
      </c>
      <c r="D19" s="7" t="n">
        <v>131652</v>
      </c>
      <c r="E19" s="7" t="n">
        <v>388755</v>
      </c>
      <c r="F19" s="7" t="n">
        <v>2051100</v>
      </c>
      <c r="G19" s="7" t="n">
        <v>3100500</v>
      </c>
      <c r="H19" s="7" t="n">
        <v>143100000</v>
      </c>
    </row>
    <row r="20">
      <c r="A20" s="5" t="inlineStr">
        <is>
          <t>Growth 2020 to 2024</t>
        </is>
      </c>
      <c r="B20" s="11" t="n">
        <v>0.0484</v>
      </c>
      <c r="C20" s="11" t="n">
        <v>0.0484</v>
      </c>
      <c r="D20" s="11" t="n">
        <v>0.0484</v>
      </c>
      <c r="E20" s="11" t="n">
        <v>0.0484</v>
      </c>
      <c r="F20" s="11" t="n">
        <v>0.0484</v>
      </c>
      <c r="G20" s="11" t="n">
        <v>0.0484</v>
      </c>
      <c r="H20" s="11" t="n">
        <v>0.0484</v>
      </c>
    </row>
    <row r="21">
      <c r="A21" s="5" t="inlineStr">
        <is>
          <t>Est. annual growth rate (to 2026)</t>
        </is>
      </c>
      <c r="B21" s="9" t="n">
        <v>0.011</v>
      </c>
      <c r="C21" s="12" t="n"/>
      <c r="D21" s="12" t="n"/>
      <c r="E21" s="12" t="n"/>
      <c r="F21" s="12" t="n"/>
      <c r="G21" s="12" t="n"/>
      <c r="H21" s="12" t="n"/>
      <c r="I21" s="2" t="inlineStr">
        <is>
          <t>An assumption, not a measurement.</t>
        </is>
      </c>
    </row>
    <row r="22">
      <c r="A22" s="5" t="inlineStr">
        <is>
          <t>Population (2026 est.)</t>
        </is>
      </c>
      <c r="B22" s="7" t="n">
        <v>10239</v>
      </c>
      <c r="C22" s="7" t="n">
        <v>55581</v>
      </c>
      <c r="D22" s="7" t="n">
        <v>134564</v>
      </c>
      <c r="E22" s="7" t="n">
        <v>397355</v>
      </c>
      <c r="F22" s="7" t="n">
        <v>2096472</v>
      </c>
      <c r="G22" s="7" t="n">
        <v>3169086</v>
      </c>
      <c r="H22" s="7" t="n">
        <v>146265515</v>
      </c>
    </row>
    <row r="24">
      <c r="A24" s="4" t="inlineStr">
        <is>
          <t>Households by income (2024 actual)</t>
        </is>
      </c>
      <c r="B24" s="4" t="n"/>
      <c r="C24" s="4" t="n"/>
      <c r="D24" s="4" t="n"/>
      <c r="E24" s="4" t="n"/>
      <c r="F24" s="4" t="n"/>
      <c r="G24" s="4" t="n"/>
      <c r="H24" s="4" t="n"/>
    </row>
    <row r="25">
      <c r="A25" s="6" t="inlineStr">
        <is>
          <t>Eight brackets, with the two affordability subtotals underneath.</t>
        </is>
      </c>
    </row>
    <row r="26">
      <c r="A26" s="14" t="inlineStr"/>
      <c r="B26" s="14" t="inlineStr">
        <is>
          <t>1 mi</t>
        </is>
      </c>
      <c r="C26" s="14" t="inlineStr">
        <is>
          <t>3 mi</t>
        </is>
      </c>
      <c r="D26" s="14" t="inlineStr">
        <is>
          <t>5 mi</t>
        </is>
      </c>
      <c r="E26" s="14" t="inlineStr">
        <is>
          <t>10 mi</t>
        </is>
      </c>
      <c r="F26" s="14" t="inlineStr">
        <is>
          <t>Demo MSA</t>
        </is>
      </c>
      <c r="G26" s="14" t="inlineStr">
        <is>
          <t>Demo State</t>
        </is>
      </c>
      <c r="H26" s="14" t="inlineStr">
        <is>
          <t>U.S.</t>
        </is>
      </c>
    </row>
    <row r="27">
      <c r="A27" s="5" t="inlineStr">
        <is>
          <t xml:space="preserve">    Less than $25,000</t>
        </is>
      </c>
      <c r="B27" s="7" t="n">
        <v>473</v>
      </c>
      <c r="C27" s="7" t="n">
        <v>2569</v>
      </c>
      <c r="D27" s="7" t="n">
        <v>6220</v>
      </c>
      <c r="E27" s="7" t="n">
        <v>18368</v>
      </c>
      <c r="F27" s="7" t="n">
        <v>96913</v>
      </c>
      <c r="G27" s="7" t="n">
        <v>146497</v>
      </c>
      <c r="H27" s="7" t="n">
        <v>6761400</v>
      </c>
    </row>
    <row r="28">
      <c r="A28" s="5" t="inlineStr">
        <is>
          <t xml:space="preserve">    $25,000 - $49,999</t>
        </is>
      </c>
      <c r="B28" s="7" t="n">
        <v>586</v>
      </c>
      <c r="C28" s="7" t="n">
        <v>3179</v>
      </c>
      <c r="D28" s="7" t="n">
        <v>7697</v>
      </c>
      <c r="E28" s="7" t="n">
        <v>22727</v>
      </c>
      <c r="F28" s="7" t="n">
        <v>119910</v>
      </c>
      <c r="G28" s="7" t="n">
        <v>181259</v>
      </c>
      <c r="H28" s="7" t="n">
        <v>8365800</v>
      </c>
    </row>
    <row r="29">
      <c r="A29" s="5" t="inlineStr">
        <is>
          <t xml:space="preserve">    $50,000 - $74,999</t>
        </is>
      </c>
      <c r="B29" s="7" t="n">
        <v>610</v>
      </c>
      <c r="C29" s="7" t="n">
        <v>3310</v>
      </c>
      <c r="D29" s="7" t="n">
        <v>8013</v>
      </c>
      <c r="E29" s="7" t="n">
        <v>23661</v>
      </c>
      <c r="F29" s="7" t="n">
        <v>124838</v>
      </c>
      <c r="G29" s="7" t="n">
        <v>188708</v>
      </c>
      <c r="H29" s="7" t="n">
        <v>8709600</v>
      </c>
    </row>
    <row r="30">
      <c r="A30" s="5" t="inlineStr">
        <is>
          <t xml:space="preserve">    $75,000 - $99,999</t>
        </is>
      </c>
      <c r="B30" s="7" t="n">
        <v>558</v>
      </c>
      <c r="C30" s="7" t="n">
        <v>3027</v>
      </c>
      <c r="D30" s="7" t="n">
        <v>7328</v>
      </c>
      <c r="E30" s="7" t="n">
        <v>21637</v>
      </c>
      <c r="F30" s="7" t="n">
        <v>114161</v>
      </c>
      <c r="G30" s="7" t="n">
        <v>172569</v>
      </c>
      <c r="H30" s="7" t="n">
        <v>7964700</v>
      </c>
    </row>
    <row r="31">
      <c r="A31" s="5" t="inlineStr">
        <is>
          <t xml:space="preserve">    $100,000 - $124,999</t>
        </is>
      </c>
      <c r="B31" s="7" t="n">
        <v>485</v>
      </c>
      <c r="C31" s="7" t="n">
        <v>2635</v>
      </c>
      <c r="D31" s="7" t="n">
        <v>6379</v>
      </c>
      <c r="E31" s="7" t="n">
        <v>18835</v>
      </c>
      <c r="F31" s="7" t="n">
        <v>99377</v>
      </c>
      <c r="G31" s="7" t="n">
        <v>150222</v>
      </c>
      <c r="H31" s="7" t="n">
        <v>6933300</v>
      </c>
    </row>
    <row r="32">
      <c r="A32" s="5" t="inlineStr">
        <is>
          <t xml:space="preserve">    $125,000 - $149,999</t>
        </is>
      </c>
      <c r="B32" s="7" t="n">
        <v>369</v>
      </c>
      <c r="C32" s="7" t="n">
        <v>2003</v>
      </c>
      <c r="D32" s="7" t="n">
        <v>4850</v>
      </c>
      <c r="E32" s="7" t="n">
        <v>14321</v>
      </c>
      <c r="F32" s="7" t="n">
        <v>75560</v>
      </c>
      <c r="G32" s="7" t="n">
        <v>114218</v>
      </c>
      <c r="H32" s="7" t="n">
        <v>5271600</v>
      </c>
    </row>
    <row r="33">
      <c r="A33" s="5" t="inlineStr">
        <is>
          <t xml:space="preserve">    $150,000 - $199,999</t>
        </is>
      </c>
      <c r="B33" s="7" t="n">
        <v>457</v>
      </c>
      <c r="C33" s="7" t="n">
        <v>2482</v>
      </c>
      <c r="D33" s="7" t="n">
        <v>6010</v>
      </c>
      <c r="E33" s="7" t="n">
        <v>17746</v>
      </c>
      <c r="F33" s="7" t="n">
        <v>93628</v>
      </c>
      <c r="G33" s="7" t="n">
        <v>141531</v>
      </c>
      <c r="H33" s="7" t="n">
        <v>6532200</v>
      </c>
    </row>
    <row r="34">
      <c r="A34" s="5" t="inlineStr">
        <is>
          <t xml:space="preserve">    $200,000 and over</t>
        </is>
      </c>
      <c r="B34" s="7" t="n">
        <v>473</v>
      </c>
      <c r="C34" s="7" t="n">
        <v>2569</v>
      </c>
      <c r="D34" s="7" t="n">
        <v>6220</v>
      </c>
      <c r="E34" s="7" t="n">
        <v>18368</v>
      </c>
      <c r="F34" s="7" t="n">
        <v>96913</v>
      </c>
      <c r="G34" s="7" t="n">
        <v>146497</v>
      </c>
      <c r="H34" s="7" t="n">
        <v>6761400</v>
      </c>
    </row>
    <row r="35">
      <c r="A35" s="5" t="inlineStr">
        <is>
          <t>Subtotal $50,000 and over</t>
        </is>
      </c>
      <c r="B35" s="7" t="n">
        <v>2952</v>
      </c>
      <c r="C35" s="7" t="n">
        <v>16026</v>
      </c>
      <c r="D35" s="7" t="n">
        <v>38799</v>
      </c>
      <c r="E35" s="7" t="n">
        <v>114569</v>
      </c>
      <c r="F35" s="7" t="n">
        <v>604477</v>
      </c>
      <c r="G35" s="7" t="n">
        <v>913744</v>
      </c>
      <c r="H35" s="7" t="n">
        <v>42172800</v>
      </c>
    </row>
    <row r="36">
      <c r="A36" s="5" t="inlineStr">
        <is>
          <t xml:space="preserve">   share of households</t>
        </is>
      </c>
      <c r="B36" s="11" t="n">
        <v>0.736</v>
      </c>
      <c r="C36" s="11" t="n">
        <v>0.736</v>
      </c>
      <c r="D36" s="11" t="n">
        <v>0.736</v>
      </c>
      <c r="E36" s="11" t="n">
        <v>0.736</v>
      </c>
      <c r="F36" s="11" t="n">
        <v>0.736</v>
      </c>
      <c r="G36" s="11" t="n">
        <v>0.736</v>
      </c>
      <c r="H36" s="11" t="n">
        <v>0.736</v>
      </c>
    </row>
    <row r="37">
      <c r="A37" s="5" t="inlineStr">
        <is>
          <t>Subtotal $100,000 and over</t>
        </is>
      </c>
      <c r="B37" s="7" t="n">
        <v>1785</v>
      </c>
      <c r="C37" s="7" t="n">
        <v>9689</v>
      </c>
      <c r="D37" s="7" t="n">
        <v>23459</v>
      </c>
      <c r="E37" s="7" t="n">
        <v>69271</v>
      </c>
      <c r="F37" s="7" t="n">
        <v>365478</v>
      </c>
      <c r="G37" s="7" t="n">
        <v>552468</v>
      </c>
      <c r="H37" s="7" t="n">
        <v>25498500</v>
      </c>
    </row>
    <row r="38">
      <c r="A38" s="5" t="inlineStr">
        <is>
          <t xml:space="preserve">   share of households</t>
        </is>
      </c>
      <c r="B38" s="11" t="n">
        <v>0.445</v>
      </c>
      <c r="C38" s="11" t="n">
        <v>0.445</v>
      </c>
      <c r="D38" s="11" t="n">
        <v>0.445</v>
      </c>
      <c r="E38" s="11" t="n">
        <v>0.445</v>
      </c>
      <c r="F38" s="11" t="n">
        <v>0.445</v>
      </c>
      <c r="G38" s="11" t="n">
        <v>0.445</v>
      </c>
      <c r="H38" s="11" t="n">
        <v>0.445</v>
      </c>
    </row>
    <row r="40">
      <c r="A40" s="4" t="inlineStr">
        <is>
          <t>Income and affordability</t>
        </is>
      </c>
      <c r="B40" s="4" t="n"/>
      <c r="C40" s="4" t="n"/>
      <c r="D40" s="4" t="n"/>
      <c r="E40" s="4" t="n"/>
      <c r="F40" s="4" t="n"/>
      <c r="G40" s="4" t="n"/>
      <c r="H40" s="4" t="n"/>
    </row>
    <row r="41">
      <c r="A41" s="6" t="inlineStr">
        <is>
          <t>Median interpolated from the brackets above, so the two cannot disagree.</t>
        </is>
      </c>
    </row>
    <row r="42">
      <c r="A42" s="14" t="inlineStr"/>
      <c r="B42" s="14" t="inlineStr">
        <is>
          <t>1 mi</t>
        </is>
      </c>
      <c r="C42" s="14" t="inlineStr">
        <is>
          <t>3 mi</t>
        </is>
      </c>
      <c r="D42" s="14" t="inlineStr">
        <is>
          <t>5 mi</t>
        </is>
      </c>
      <c r="E42" s="14" t="inlineStr">
        <is>
          <t>10 mi</t>
        </is>
      </c>
      <c r="F42" s="14" t="inlineStr">
        <is>
          <t>Demo MSA</t>
        </is>
      </c>
      <c r="G42" s="14" t="inlineStr">
        <is>
          <t>Demo State</t>
        </is>
      </c>
      <c r="H42" s="14" t="inlineStr">
        <is>
          <t>U.S.</t>
        </is>
      </c>
    </row>
    <row r="43">
      <c r="A43" s="5" t="inlineStr">
        <is>
          <t>Average household income (2024)</t>
        </is>
      </c>
      <c r="B43" s="7" t="n">
        <v>81200</v>
      </c>
      <c r="C43" s="7" t="n">
        <v>103400</v>
      </c>
      <c r="D43" s="7" t="n">
        <v>107900</v>
      </c>
      <c r="E43" s="7" t="n">
        <v>112600</v>
      </c>
      <c r="F43" s="7" t="n">
        <v>118800</v>
      </c>
      <c r="G43" s="7" t="n">
        <v>108100</v>
      </c>
      <c r="H43" s="7" t="n">
        <v>113900</v>
      </c>
    </row>
    <row r="44">
      <c r="A44" s="5" t="inlineStr">
        <is>
          <t>Median household income (2024)</t>
        </is>
      </c>
      <c r="B44" s="7" t="n">
        <v>66500</v>
      </c>
      <c r="C44" s="7" t="n">
        <v>81900</v>
      </c>
      <c r="D44" s="7" t="n">
        <v>83100</v>
      </c>
      <c r="E44" s="7" t="n">
        <v>83400</v>
      </c>
      <c r="F44" s="7" t="n">
        <v>88900</v>
      </c>
      <c r="G44" s="7" t="n">
        <v>80600</v>
      </c>
      <c r="H44" s="7" t="n">
        <v>81400</v>
      </c>
    </row>
    <row r="45">
      <c r="A45" s="5" t="inlineStr">
        <is>
          <t>Est. annual income growth (to 2026)</t>
        </is>
      </c>
      <c r="B45" s="9" t="n">
        <v>0.062</v>
      </c>
      <c r="C45" s="12" t="n"/>
      <c r="D45" s="12" t="n"/>
      <c r="E45" s="12" t="n"/>
      <c r="F45" s="12" t="n"/>
      <c r="G45" s="12" t="n"/>
      <c r="H45" s="12" t="n"/>
      <c r="I45" s="2" t="inlineStr">
        <is>
          <t>An assumption, not a measurement.</t>
        </is>
      </c>
    </row>
    <row r="46">
      <c r="A46" s="5" t="inlineStr">
        <is>
          <t>Average household income (2026 est.)</t>
        </is>
      </c>
      <c r="B46" s="7" t="n">
        <v>91581</v>
      </c>
      <c r="C46" s="7" t="n">
        <v>116619</v>
      </c>
      <c r="D46" s="7" t="n">
        <v>121694</v>
      </c>
      <c r="E46" s="7" t="n">
        <v>126995</v>
      </c>
      <c r="F46" s="7" t="n">
        <v>133988</v>
      </c>
      <c r="G46" s="7" t="n">
        <v>121920</v>
      </c>
      <c r="H46" s="7" t="n">
        <v>128461</v>
      </c>
    </row>
    <row r="47">
      <c r="A47" s="5" t="inlineStr">
        <is>
          <t>Renter share</t>
        </is>
      </c>
      <c r="B47" s="11" t="n">
        <v>0.654</v>
      </c>
      <c r="C47" s="11" t="n">
        <v>0.512</v>
      </c>
      <c r="D47" s="11" t="n">
        <v>0.518</v>
      </c>
      <c r="E47" s="11" t="n">
        <v>0.481</v>
      </c>
      <c r="F47" s="11" t="n">
        <v>0.334</v>
      </c>
      <c r="G47" s="11" t="n">
        <v>0.331</v>
      </c>
      <c r="H47" s="11" t="n">
        <v>0.352</v>
      </c>
    </row>
    <row r="48">
      <c r="A48" s="5" t="inlineStr">
        <is>
          <t>Rent-to-income at $1,795/mo</t>
        </is>
      </c>
      <c r="B48" s="11" t="n">
        <v>0.265</v>
      </c>
      <c r="C48" s="11" t="n">
        <v>0.208</v>
      </c>
      <c r="D48" s="11" t="n">
        <v>0.2</v>
      </c>
      <c r="E48" s="11" t="n">
        <v>0.191</v>
      </c>
      <c r="F48" s="11" t="n">
        <v>0.181</v>
      </c>
      <c r="G48" s="11" t="n">
        <v>0.199</v>
      </c>
      <c r="H48" s="11" t="n">
        <v>0.189</v>
      </c>
      <c r="I48" s="2" t="inlineStr">
        <is>
          <t>Against projected 2026 income, so it is a forward ratio.</t>
        </is>
      </c>
    </row>
    <row r="50">
      <c r="A50" s="4" t="inlineStr">
        <is>
          <t>Home value — ZIP 00000 vs Demo MSA</t>
        </is>
      </c>
      <c r="B50" s="4" t="n"/>
      <c r="C50" s="4" t="n"/>
      <c r="D50" s="4" t="n"/>
      <c r="E50" s="4" t="n"/>
      <c r="F50" s="4" t="n"/>
      <c r="G50" s="4" t="n"/>
      <c r="H50" s="4" t="n"/>
    </row>
    <row r="51">
      <c r="A51" s="6" t="inlineStr">
        <is>
          <t>ZIP geography, not a drive ring — the only section that does not share the columns above, so it is shown as its own three figures rather than stretched across headers it does not describe.</t>
        </is>
      </c>
    </row>
    <row r="52">
      <c r="A52" s="14" t="inlineStr"/>
      <c r="B52" s="14" t="inlineStr">
        <is>
          <t>Value</t>
        </is>
      </c>
    </row>
    <row r="53">
      <c r="A53" s="5" t="inlineStr">
        <is>
          <t>ZIP home value</t>
        </is>
      </c>
      <c r="B53" s="7" t="n">
        <v>451600</v>
      </c>
    </row>
    <row r="54">
      <c r="A54" s="5" t="inlineStr">
        <is>
          <t>Metro home value</t>
        </is>
      </c>
      <c r="B54" s="7" t="n">
        <v>446200</v>
      </c>
    </row>
    <row r="55">
      <c r="A55" s="5" t="inlineStr">
        <is>
          <t>ZIP vs metro</t>
        </is>
      </c>
      <c r="B55" s="11" t="n">
        <v>0.0121</v>
      </c>
    </row>
    <row r="57">
      <c r="A57" s="4" t="inlineStr">
        <is>
          <t>Labor market</t>
        </is>
      </c>
      <c r="B57" s="4" t="n"/>
      <c r="C57" s="4" t="n"/>
      <c r="D57" s="4" t="n"/>
      <c r="E57" s="4" t="n"/>
      <c r="F57" s="4" t="n"/>
      <c r="G57" s="4" t="n"/>
      <c r="H57" s="4" t="n"/>
    </row>
    <row r="58">
      <c r="A58" s="6" t="inlineStr">
        <is>
          <t>Ring job counts are WORKPLACE counts — jobs located inside the ring, not residents who hold jobs. The unemployment row is the opposite: residents.</t>
        </is>
      </c>
    </row>
    <row r="59">
      <c r="A59" s="14" t="inlineStr"/>
      <c r="B59" s="14" t="inlineStr">
        <is>
          <t>1 mi</t>
        </is>
      </c>
      <c r="C59" s="14" t="inlineStr">
        <is>
          <t>3 mi</t>
        </is>
      </c>
      <c r="D59" s="14" t="inlineStr">
        <is>
          <t>5 mi</t>
        </is>
      </c>
      <c r="E59" s="14" t="inlineStr">
        <is>
          <t>10 mi</t>
        </is>
      </c>
      <c r="F59" s="14" t="inlineStr">
        <is>
          <t>Demo MSA</t>
        </is>
      </c>
      <c r="G59" s="14" t="inlineStr">
        <is>
          <t>Demo State</t>
        </is>
      </c>
      <c r="H59" s="14" t="inlineStr">
        <is>
          <t>U.S.</t>
        </is>
      </c>
    </row>
    <row r="60">
      <c r="A60" s="5" t="inlineStr">
        <is>
          <t>Unemployment rate (residents, ACS)</t>
        </is>
      </c>
      <c r="B60" s="11" t="n">
        <v>0.066</v>
      </c>
      <c r="C60" s="11" t="n">
        <v>0.052</v>
      </c>
      <c r="D60" s="11" t="n">
        <v>0.048</v>
      </c>
      <c r="E60" s="11" t="n">
        <v>0.046</v>
      </c>
      <c r="F60" s="11" t="n">
        <v>0.047</v>
      </c>
      <c r="G60" s="11" t="n">
        <v>0.051</v>
      </c>
      <c r="H60" s="11" t="n">
        <v>0.052</v>
      </c>
    </row>
    <row r="61">
      <c r="A61" s="13" t="inlineStr">
        <is>
          <t>Jobs located inside the ring — LODES workplace counts</t>
        </is>
      </c>
    </row>
    <row r="62">
      <c r="A62" s="5" t="inlineStr">
        <is>
          <t xml:space="preserve">    2021</t>
        </is>
      </c>
      <c r="B62" s="7" t="n">
        <v>10370</v>
      </c>
      <c r="C62" s="7" t="n">
        <v>122100</v>
      </c>
      <c r="D62" s="7" t="n">
        <v>352300</v>
      </c>
      <c r="E62" s="7" t="n">
        <v>903200</v>
      </c>
      <c r="F62" s="12" t="n"/>
      <c r="G62" s="12" t="n"/>
      <c r="H62" s="12" t="n"/>
    </row>
    <row r="63">
      <c r="A63" s="5" t="inlineStr">
        <is>
          <t xml:space="preserve">    2022</t>
        </is>
      </c>
      <c r="B63" s="7" t="n">
        <v>11300</v>
      </c>
      <c r="C63" s="7" t="n">
        <v>127600</v>
      </c>
      <c r="D63" s="7" t="n">
        <v>361400</v>
      </c>
      <c r="E63" s="7" t="n">
        <v>921800</v>
      </c>
      <c r="F63" s="12" t="n"/>
      <c r="G63" s="12" t="n"/>
      <c r="H63" s="12" t="n"/>
    </row>
    <row r="64">
      <c r="A64" s="5" t="inlineStr">
        <is>
          <t xml:space="preserve">    2023  (latest)</t>
        </is>
      </c>
      <c r="B64" s="7" t="n">
        <v>11644</v>
      </c>
      <c r="C64" s="7" t="n">
        <v>140800</v>
      </c>
      <c r="D64" s="7" t="n">
        <v>382500</v>
      </c>
      <c r="E64" s="7" t="n">
        <v>990700</v>
      </c>
      <c r="F64" s="12" t="n"/>
      <c r="G64" s="12" t="n"/>
      <c r="H64" s="12" t="n"/>
    </row>
    <row r="65">
      <c r="A65" s="5" t="inlineStr">
        <is>
          <t xml:space="preserve">    Job growth 2021 to 2023</t>
        </is>
      </c>
      <c r="B65" s="11" t="n">
        <v>0.1229</v>
      </c>
      <c r="C65" s="11" t="n">
        <v>0.1531</v>
      </c>
      <c r="D65" s="11" t="n">
        <v>0.0858</v>
      </c>
      <c r="E65" s="11" t="n">
        <v>0.0968</v>
      </c>
      <c r="F65" s="12" t="n"/>
      <c r="G65" s="12" t="n"/>
      <c r="H65" s="12" t="n"/>
    </row>
    <row r="67">
      <c r="A67" s="13" t="inlineStr">
        <is>
          <t>Metro nonfarm employment and unemployment — Demo County, Demo State</t>
        </is>
      </c>
    </row>
    <row r="68">
      <c r="A68" s="14" t="inlineStr">
        <is>
          <t>Year</t>
        </is>
      </c>
      <c r="B68" s="14" t="inlineStr">
        <is>
          <t>Nonfarm jobs (000s)</t>
        </is>
      </c>
      <c r="C68" s="14" t="inlineStr">
        <is>
          <t>Job growth</t>
        </is>
      </c>
      <c r="D68" s="14" t="inlineStr">
        <is>
          <t>Unemployment</t>
        </is>
      </c>
    </row>
    <row r="69">
      <c r="A69" s="12" t="n">
        <v>2025</v>
      </c>
      <c r="B69" s="10" t="n">
        <v>2462.5</v>
      </c>
      <c r="C69" s="11" t="n">
        <v>0.0026</v>
      </c>
      <c r="D69" s="11" t="n">
        <v>0.0423</v>
      </c>
    </row>
    <row r="70">
      <c r="A70" s="12" t="n">
        <v>2024</v>
      </c>
      <c r="B70" s="10" t="n">
        <v>2456</v>
      </c>
      <c r="C70" s="11" t="n">
        <v>0.0224</v>
      </c>
      <c r="D70" s="11" t="n">
        <v>0.0367</v>
      </c>
    </row>
    <row r="71">
      <c r="A71" s="12" t="n">
        <v>2023</v>
      </c>
      <c r="B71" s="10" t="n">
        <v>2402.2</v>
      </c>
      <c r="C71" s="11" t="n">
        <v>0.0311</v>
      </c>
      <c r="D71" s="11" t="n">
        <v>0.0338</v>
      </c>
    </row>
    <row r="72">
      <c r="A72" s="12" t="n">
        <v>2022</v>
      </c>
      <c r="B72" s="10" t="n">
        <v>2329.7</v>
      </c>
      <c r="C72" s="11" t="n">
        <v>0.0512</v>
      </c>
      <c r="D72" s="11" t="n">
        <v>0.0311</v>
      </c>
    </row>
    <row r="74">
      <c r="A74" s="4" t="inlineStr">
        <is>
          <t>Jobs by industry (2023)</t>
        </is>
      </c>
      <c r="B74" s="4" t="n"/>
      <c r="C74" s="4" t="n"/>
      <c r="D74" s="4" t="n"/>
      <c r="E74" s="4" t="n"/>
      <c r="F74" s="4" t="n"/>
      <c r="G74" s="4" t="n"/>
      <c r="H74" s="4" t="n"/>
    </row>
    <row r="75">
      <c r="A75" s="6" t="inlineStr">
        <is>
          <t>Share of jobs by sector, sorted by the metro's own concentration. Ring, MSA and state shares come from LODES workplace counts; the U.S. column is QCEW, a different survey, so read it as a benchmark rather than the same measurement.</t>
        </is>
      </c>
    </row>
    <row r="76">
      <c r="A76" s="14" t="inlineStr"/>
      <c r="B76" s="14" t="inlineStr">
        <is>
          <t>1 mi</t>
        </is>
      </c>
      <c r="C76" s="14" t="inlineStr">
        <is>
          <t>3 mi</t>
        </is>
      </c>
      <c r="D76" s="14" t="inlineStr">
        <is>
          <t>5 mi</t>
        </is>
      </c>
      <c r="E76" s="14" t="inlineStr">
        <is>
          <t>10 mi</t>
        </is>
      </c>
      <c r="F76" s="14" t="inlineStr">
        <is>
          <t>Demo MSA</t>
        </is>
      </c>
      <c r="G76" s="14" t="inlineStr">
        <is>
          <t>Demo State</t>
        </is>
      </c>
      <c r="H76" s="14" t="inlineStr">
        <is>
          <t>U.S.</t>
        </is>
      </c>
    </row>
    <row r="77">
      <c r="A77" s="5" t="inlineStr">
        <is>
          <t>Health Care/Social Asst</t>
        </is>
      </c>
      <c r="B77" s="11" t="n">
        <v>0.079</v>
      </c>
      <c r="C77" s="11" t="n">
        <v>0.089</v>
      </c>
      <c r="D77" s="11" t="n">
        <v>0.104</v>
      </c>
      <c r="E77" s="11" t="n">
        <v>0.127</v>
      </c>
      <c r="F77" s="11" t="n">
        <v>0.144</v>
      </c>
      <c r="G77" s="11" t="n">
        <v>0.148</v>
      </c>
      <c r="H77" s="11" t="n">
        <v>0.152</v>
      </c>
      <c r="I77" s="2" t="inlineStr">
        <is>
          <t>Location quotient vs U.S.: 0.95x — less concentrated here.</t>
        </is>
      </c>
    </row>
    <row r="78">
      <c r="A78" s="5" t="inlineStr">
        <is>
          <t>Retail Trade</t>
        </is>
      </c>
      <c r="B78" s="11" t="n">
        <v>0.091</v>
      </c>
      <c r="C78" s="11" t="n">
        <v>0.091</v>
      </c>
      <c r="D78" s="11" t="n">
        <v>0.08599999999999999</v>
      </c>
      <c r="E78" s="11" t="n">
        <v>0.083</v>
      </c>
      <c r="F78" s="11" t="n">
        <v>0.109</v>
      </c>
      <c r="G78" s="11" t="n">
        <v>0.11</v>
      </c>
      <c r="H78" s="11" t="n">
        <v>0.102</v>
      </c>
      <c r="I78" s="2" t="inlineStr">
        <is>
          <t>Location quotient vs U.S.: 1.07x — more concentrated here.</t>
        </is>
      </c>
    </row>
    <row r="79">
      <c r="A79" s="5" t="inlineStr">
        <is>
          <t>Accommodation/Food Svcs</t>
        </is>
      </c>
      <c r="B79" s="11" t="n">
        <v>0.049</v>
      </c>
      <c r="C79" s="11" t="n">
        <v>0.068</v>
      </c>
      <c r="D79" s="11" t="n">
        <v>0.058</v>
      </c>
      <c r="E79" s="11" t="n">
        <v>0.076</v>
      </c>
      <c r="F79" s="11" t="n">
        <v>0.092</v>
      </c>
      <c r="G79" s="11" t="n">
        <v>0.098</v>
      </c>
      <c r="H79" s="11" t="n">
        <v>0.092</v>
      </c>
      <c r="I79" s="2" t="inlineStr">
        <is>
          <t>Location quotient vs U.S.: 1.00x — less concentrated here.</t>
        </is>
      </c>
    </row>
    <row r="80">
      <c r="A80" s="5" t="inlineStr">
        <is>
          <t>Professional/Scientific/Tech</t>
        </is>
      </c>
      <c r="B80" s="11" t="n">
        <v>0.061</v>
      </c>
      <c r="C80" s="11" t="n">
        <v>0.074</v>
      </c>
      <c r="D80" s="11" t="n">
        <v>0.081</v>
      </c>
      <c r="E80" s="11" t="n">
        <v>0.07199999999999999</v>
      </c>
      <c r="F80" s="11" t="n">
        <v>0.077</v>
      </c>
      <c r="G80" s="11" t="n">
        <v>0.07000000000000001</v>
      </c>
      <c r="H80" s="11" t="n">
        <v>0.08599999999999999</v>
      </c>
      <c r="I80" s="2" t="inlineStr">
        <is>
          <t>Location quotient vs U.S.: 0.90x — less concentrated here.</t>
        </is>
      </c>
    </row>
    <row r="81">
      <c r="A81" s="5" t="inlineStr">
        <is>
          <t>Educational Services</t>
        </is>
      </c>
      <c r="B81" s="11" t="n">
        <v>0.207</v>
      </c>
      <c r="C81" s="11" t="n">
        <v>0.118</v>
      </c>
      <c r="D81" s="11" t="n">
        <v>0.092</v>
      </c>
      <c r="E81" s="11" t="n">
        <v>0.07000000000000001</v>
      </c>
      <c r="F81" s="11" t="n">
        <v>0.075</v>
      </c>
      <c r="G81" s="11" t="n">
        <v>0.081</v>
      </c>
      <c r="H81" s="11" t="n">
        <v>0.092</v>
      </c>
      <c r="I81" s="2" t="inlineStr">
        <is>
          <t>Location quotient vs U.S.: 0.82x — less concentrated here.</t>
        </is>
      </c>
    </row>
    <row r="82">
      <c r="A82" s="5" t="inlineStr">
        <is>
          <t>Admin/Support/Waste</t>
        </is>
      </c>
      <c r="B82" s="11" t="n">
        <v>0.038</v>
      </c>
      <c r="C82" s="11" t="n">
        <v>0.052</v>
      </c>
      <c r="D82" s="11" t="n">
        <v>0.061</v>
      </c>
      <c r="E82" s="11" t="n">
        <v>0.058</v>
      </c>
      <c r="F82" s="11" t="n">
        <v>0.07000000000000001</v>
      </c>
      <c r="G82" s="11" t="n">
        <v>0.066</v>
      </c>
      <c r="H82" s="11" t="n">
        <v>0.058</v>
      </c>
      <c r="I82" s="2" t="inlineStr">
        <is>
          <t>Location quotient vs U.S.: 1.21x — more concentrated here.</t>
        </is>
      </c>
    </row>
    <row r="83">
      <c r="A83" s="5" t="inlineStr">
        <is>
          <t>Finance/Insurance</t>
        </is>
      </c>
      <c r="B83" s="11" t="n">
        <v>0.021</v>
      </c>
      <c r="C83" s="11" t="n">
        <v>0.038</v>
      </c>
      <c r="D83" s="11" t="n">
        <v>0.049</v>
      </c>
      <c r="E83" s="11" t="n">
        <v>0.043</v>
      </c>
      <c r="F83" s="11" t="n">
        <v>0.061</v>
      </c>
      <c r="G83" s="11" t="n">
        <v>0.055</v>
      </c>
      <c r="H83" s="11" t="n">
        <v>0.045</v>
      </c>
      <c r="I83" s="2" t="inlineStr">
        <is>
          <t>Location quotient vs U.S.: 1.36x — more concentrated here.</t>
        </is>
      </c>
    </row>
    <row r="84">
      <c r="A84" s="5" t="inlineStr">
        <is>
          <t>Construction</t>
        </is>
      </c>
      <c r="B84" s="11" t="n">
        <v>0.031</v>
      </c>
      <c r="C84" s="11" t="n">
        <v>0.041</v>
      </c>
      <c r="D84" s="11" t="n">
        <v>0.047</v>
      </c>
      <c r="E84" s="11" t="n">
        <v>0.052</v>
      </c>
      <c r="F84" s="11" t="n">
        <v>0.058</v>
      </c>
      <c r="G84" s="11" t="n">
        <v>0.06</v>
      </c>
      <c r="H84" s="11" t="n">
        <v>0.052</v>
      </c>
      <c r="I84" s="2" t="inlineStr">
        <is>
          <t>Location quotient vs U.S.: 1.12x — more concentrated here.</t>
        </is>
      </c>
    </row>
    <row r="85">
      <c r="A85" s="5" t="inlineStr">
        <is>
          <t>Manufacturing</t>
        </is>
      </c>
      <c r="B85" s="11" t="n">
        <v>0.018</v>
      </c>
      <c r="C85" s="11" t="n">
        <v>0.029</v>
      </c>
      <c r="D85" s="11" t="n">
        <v>0.038</v>
      </c>
      <c r="E85" s="11" t="n">
        <v>0.049</v>
      </c>
      <c r="F85" s="11" t="n">
        <v>0.052</v>
      </c>
      <c r="G85" s="11" t="n">
        <v>0.055</v>
      </c>
      <c r="H85" s="11" t="n">
        <v>0.08599999999999999</v>
      </c>
      <c r="I85" s="2" t="inlineStr">
        <is>
          <t>Location quotient vs U.S.: 0.60x — less concentrated here.</t>
        </is>
      </c>
    </row>
    <row r="86">
      <c r="A86" s="5" t="inlineStr">
        <is>
          <t>Transportation/Warehousing</t>
        </is>
      </c>
      <c r="B86" s="11" t="n">
        <v>0.014</v>
      </c>
      <c r="C86" s="11" t="n">
        <v>0.024</v>
      </c>
      <c r="D86" s="11" t="n">
        <v>0.031</v>
      </c>
      <c r="E86" s="11" t="n">
        <v>0.041</v>
      </c>
      <c r="F86" s="11" t="n">
        <v>0.046</v>
      </c>
      <c r="G86" s="11" t="n">
        <v>0.044</v>
      </c>
      <c r="H86" s="11" t="n">
        <v>0.042</v>
      </c>
      <c r="I86" s="2" t="inlineStr">
        <is>
          <t>Location quotient vs U.S.: 1.10x — more concentrated here.</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25"/>
  <sheetViews>
    <sheetView workbookViewId="0">
      <pane ySplit="5" topLeftCell="A6" activePane="bottomLeft" state="frozen"/>
      <selection pane="bottomLeft" activeCell="A1" sqref="A1"/>
    </sheetView>
  </sheetViews>
  <sheetFormatPr baseColWidth="8" defaultRowHeight="15"/>
  <cols>
    <col width="42" customWidth="1" min="1" max="1"/>
    <col width="36" customWidth="1" min="2" max="2"/>
    <col width="16" customWidth="1" min="3" max="3"/>
    <col width="22" customWidth="1" min="4" max="4"/>
  </cols>
  <sheetData>
    <row r="1">
      <c r="A1" s="1" t="inlineStr">
        <is>
          <t>Competing supply</t>
        </is>
      </c>
    </row>
    <row r="2">
      <c r="A2" s="2" t="inlineStr">
        <is>
          <t>Fixture Park — as of 2026-06-30</t>
        </is>
      </c>
    </row>
    <row r="3">
      <c r="A3" s="2" t="inlineStr">
        <is>
          <t>Pipeline projects by ring and stage. Stage is stated because entitled units and delivered units are not the same risk. Public permit records.</t>
        </is>
      </c>
    </row>
    <row r="4">
      <c r="A4" s="3" t="n"/>
      <c r="B4" s="3" t="n"/>
      <c r="C4" s="3" t="n"/>
      <c r="D4" s="3" t="n"/>
      <c r="E4" s="3" t="n"/>
      <c r="F4" s="3" t="n"/>
      <c r="G4" s="3" t="n"/>
      <c r="H4" s="3" t="n"/>
    </row>
    <row r="5" ht="32" customHeight="1">
      <c r="A5" s="6" t="inlineStr">
        <is>
          <t>Coverage note: these rings and stages are real and unmodified, and a zero is a genuine zero for the sources covered so far — not a gap left blank. Coverage of the permit and entitlement pipeline is an area of ongoing work and will be expanded, so read this section as a FLOOR on competing supply rather than a census of it.</t>
        </is>
      </c>
    </row>
    <row r="6"/>
    <row r="7">
      <c r="A7" s="14" t="inlineStr">
        <is>
          <t>Ring</t>
        </is>
      </c>
      <c r="B7" s="14" t="inlineStr">
        <is>
          <t>Stage</t>
        </is>
      </c>
      <c r="C7" s="14" t="inlineStr">
        <is>
          <t>Projects</t>
        </is>
      </c>
      <c r="D7" s="14" t="inlineStr">
        <is>
          <t>Units</t>
        </is>
      </c>
    </row>
    <row r="8">
      <c r="A8" s="5" t="inlineStr">
        <is>
          <t>1 mi</t>
        </is>
      </c>
      <c r="B8" s="5" t="inlineStr">
        <is>
          <t>Entitlement</t>
        </is>
      </c>
      <c r="C8" s="7" t="n">
        <v>1</v>
      </c>
      <c r="D8" s="7" t="n">
        <v>220</v>
      </c>
    </row>
    <row r="9">
      <c r="A9" s="5" t="inlineStr">
        <is>
          <t>1 mi</t>
        </is>
      </c>
      <c r="B9" s="5" t="inlineStr">
        <is>
          <t>Permitted</t>
        </is>
      </c>
      <c r="C9" s="7" t="n">
        <v>1</v>
      </c>
      <c r="D9" s="7" t="n">
        <v>148</v>
      </c>
    </row>
    <row r="10">
      <c r="A10" s="5" t="inlineStr">
        <is>
          <t>1 mi</t>
        </is>
      </c>
      <c r="B10" s="5" t="inlineStr">
        <is>
          <t>Under construction</t>
        </is>
      </c>
      <c r="C10" s="7" t="n">
        <v>0</v>
      </c>
      <c r="D10" s="7" t="n">
        <v>0</v>
      </c>
    </row>
    <row r="11">
      <c r="A11" s="5" t="inlineStr">
        <is>
          <t>1 mi</t>
        </is>
      </c>
      <c r="B11" s="5" t="inlineStr">
        <is>
          <t>Delivered (24 mo)</t>
        </is>
      </c>
      <c r="C11" s="7" t="n">
        <v>1</v>
      </c>
      <c r="D11" s="7" t="n">
        <v>96</v>
      </c>
    </row>
    <row r="12">
      <c r="A12" s="5" t="inlineStr">
        <is>
          <t>3 mi</t>
        </is>
      </c>
      <c r="B12" s="5" t="inlineStr">
        <is>
          <t>Entitlement</t>
        </is>
      </c>
      <c r="C12" s="7" t="n">
        <v>3</v>
      </c>
      <c r="D12" s="7" t="n">
        <v>742</v>
      </c>
    </row>
    <row r="13">
      <c r="A13" s="5" t="inlineStr">
        <is>
          <t>3 mi</t>
        </is>
      </c>
      <c r="B13" s="5" t="inlineStr">
        <is>
          <t>Permitted</t>
        </is>
      </c>
      <c r="C13" s="7" t="n">
        <v>2</v>
      </c>
      <c r="D13" s="7" t="n">
        <v>410</v>
      </c>
    </row>
    <row r="14">
      <c r="A14" s="5" t="inlineStr">
        <is>
          <t>3 mi</t>
        </is>
      </c>
      <c r="B14" s="5" t="inlineStr">
        <is>
          <t>Under construction</t>
        </is>
      </c>
      <c r="C14" s="7" t="n">
        <v>2</v>
      </c>
      <c r="D14" s="7" t="n">
        <v>508</v>
      </c>
    </row>
    <row r="15">
      <c r="A15" s="5" t="inlineStr">
        <is>
          <t>3 mi</t>
        </is>
      </c>
      <c r="B15" s="5" t="inlineStr">
        <is>
          <t>Delivered (24 mo)</t>
        </is>
      </c>
      <c r="C15" s="7" t="n">
        <v>3</v>
      </c>
      <c r="D15" s="7" t="n">
        <v>624</v>
      </c>
    </row>
    <row r="16">
      <c r="A16" s="5" t="inlineStr">
        <is>
          <t>5 mi</t>
        </is>
      </c>
      <c r="B16" s="5" t="inlineStr">
        <is>
          <t>Entitlement</t>
        </is>
      </c>
      <c r="C16" s="7" t="n">
        <v>6</v>
      </c>
      <c r="D16" s="7" t="n">
        <v>1485</v>
      </c>
    </row>
    <row r="17">
      <c r="A17" s="5" t="inlineStr">
        <is>
          <t>5 mi</t>
        </is>
      </c>
      <c r="B17" s="5" t="inlineStr">
        <is>
          <t>Permitted</t>
        </is>
      </c>
      <c r="C17" s="7" t="n">
        <v>4</v>
      </c>
      <c r="D17" s="7" t="n">
        <v>903</v>
      </c>
    </row>
    <row r="18">
      <c r="A18" s="5" t="inlineStr">
        <is>
          <t>5 mi</t>
        </is>
      </c>
      <c r="B18" s="5" t="inlineStr">
        <is>
          <t>Under construction</t>
        </is>
      </c>
      <c r="C18" s="7" t="n">
        <v>5</v>
      </c>
      <c r="D18" s="7" t="n">
        <v>1240</v>
      </c>
    </row>
    <row r="19">
      <c r="A19" s="5" t="inlineStr">
        <is>
          <t>5 mi</t>
        </is>
      </c>
      <c r="B19" s="5" t="inlineStr">
        <is>
          <t>Delivered (24 mo)</t>
        </is>
      </c>
      <c r="C19" s="7" t="n">
        <v>7</v>
      </c>
      <c r="D19" s="7" t="n">
        <v>1608</v>
      </c>
    </row>
    <row r="20"/>
    <row r="21">
      <c r="A21" s="4" t="inlineStr">
        <is>
          <t>Ring totals</t>
        </is>
      </c>
      <c r="B21" s="4" t="n"/>
      <c r="C21" s="4" t="n"/>
      <c r="D21" s="4" t="n"/>
    </row>
    <row r="22">
      <c r="A22" s="14" t="inlineStr">
        <is>
          <t>Ring</t>
        </is>
      </c>
      <c r="B22" s="14" t="inlineStr">
        <is>
          <t>Pipeline units</t>
        </is>
      </c>
      <c r="C22" s="14" t="inlineStr">
        <is>
          <t>Existing stock</t>
        </is>
      </c>
      <c r="D22" s="14" t="inlineStr">
        <is>
          <t>Units as % of stock</t>
        </is>
      </c>
    </row>
    <row r="23">
      <c r="A23" s="5" t="inlineStr">
        <is>
          <t>1 mi</t>
        </is>
      </c>
      <c r="B23" s="7">
        <f>SUMIF($A$8:$A$19,$A23,$D$8:$D$19)</f>
        <v/>
      </c>
      <c r="C23" s="7" t="n">
        <v>3140</v>
      </c>
      <c r="D23" s="11">
        <f>IFERROR(B23/C23,"")</f>
        <v/>
      </c>
    </row>
    <row r="24">
      <c r="A24" s="5" t="inlineStr">
        <is>
          <t>3 mi</t>
        </is>
      </c>
      <c r="B24" s="7">
        <f>SUMIF($A$8:$A$19,$A24,$D$8:$D$19)</f>
        <v/>
      </c>
      <c r="C24" s="7" t="n">
        <v>18600</v>
      </c>
      <c r="D24" s="11">
        <f>IFERROR(B24/C24,"")</f>
        <v/>
      </c>
    </row>
    <row r="25">
      <c r="A25" s="5" t="inlineStr">
        <is>
          <t>5 mi</t>
        </is>
      </c>
      <c r="B25" s="7">
        <f>SUMIF($A$8:$A$19,$A25,$D$8:$D$19)</f>
        <v/>
      </c>
      <c r="C25" s="7" t="n">
        <v>41200</v>
      </c>
      <c r="D25" s="11">
        <f>IFERROR(B25/C25,"")</f>
        <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19"/>
  <sheetViews>
    <sheetView workbookViewId="0">
      <selection activeCell="A1" sqref="A1"/>
    </sheetView>
  </sheetViews>
  <sheetFormatPr baseColWidth="8" defaultRowHeight="15"/>
  <cols>
    <col width="38" customWidth="1" min="1" max="1"/>
    <col width="26" customWidth="1" min="2" max="2"/>
    <col width="110" customWidth="1" min="3" max="3"/>
  </cols>
  <sheetData>
    <row r="1">
      <c r="A1" s="1" t="inlineStr">
        <is>
          <t>Notes and disclosures</t>
        </is>
      </c>
    </row>
    <row r="2">
      <c r="A2" s="2" t="inlineStr">
        <is>
          <t>Fixture Park — as of 2026-06-30</t>
        </is>
      </c>
    </row>
    <row r="3">
      <c r="A3" s="2" t="inlineStr">
        <is>
          <t>Every output here is the result of decisions someone made. These are those decisions, including the ones that make the numbers look worse.</t>
        </is>
      </c>
    </row>
    <row r="4">
      <c r="A4" s="3" t="n"/>
      <c r="B4" s="3" t="n"/>
      <c r="C4" s="3" t="n"/>
      <c r="D4" s="3" t="n"/>
      <c r="E4" s="3" t="n"/>
      <c r="F4" s="3" t="n"/>
      <c r="G4" s="3" t="n"/>
      <c r="H4" s="3" t="n"/>
    </row>
    <row r="5">
      <c r="A5" s="14" t="inlineStr">
        <is>
          <t>Topic</t>
        </is>
      </c>
      <c r="B5" s="14" t="inlineStr">
        <is>
          <t>Applies to</t>
        </is>
      </c>
      <c r="C5" s="14" t="inlineStr">
        <is>
          <t>Note</t>
        </is>
      </c>
    </row>
    <row r="6">
      <c r="A6" s="5" t="inlineStr">
        <is>
          <t>Pricing is illustrative</t>
        </is>
      </c>
      <c r="B6" s="5" t="inlineStr">
        <is>
          <t>Deal Summary — Pricing</t>
        </is>
      </c>
      <c r="C6" s="23" t="inlineStr">
        <is>
          <t>Every price, per-unit figure and cap rate in this set is illustrative. The per-unit price is a round number chosen to sit inside the band a real per-unit sale price occupies, so the cap-rate arithmetic is realistic. It is not a quote, an offer, a broker's guidance, or a valuation. Cap rates move inversely with the price, so read them as a demonstration of the mechanics rather than a view on the asset.</t>
        </is>
      </c>
    </row>
    <row r="7">
      <c r="A7" s="5" t="inlineStr">
        <is>
          <t>Licensed data is excluded by design, not by omission</t>
        </is>
      </c>
      <c r="B7" s="5" t="inlineStr">
        <is>
          <t>Rent Comps</t>
        </is>
      </c>
      <c r="C7" s="23" t="inlineStr">
        <is>
          <t>No subscription or licensed market-data feed appears anywhere in this set. Comps come only from an operator's own weekly scrape of public leasing pages. That is a deliberate constraint, not a gap: licensed data cannot travel outside the licence, so a portfolio piece built on it could not be shown at all. The cost is coverage, and the coverage is measured and stated rather than assumed.</t>
        </is>
      </c>
    </row>
    <row r="8">
      <c r="A8" s="5" t="inlineStr">
        <is>
          <t>Comp radius is set by measured coverage</t>
        </is>
      </c>
      <c r="B8" s="5" t="inlineStr">
        <is>
          <t>Rent Comps</t>
        </is>
      </c>
      <c r="C8" s="23" t="inlineStr">
        <is>
          <t>Three miles, because that is the ring where the operator's own scrape actually holds live rents for enough communities to say something. A wider ring would add distance without adding evidence — it trades real rents for guesses. The coverage sentence on the comp block is measured by a probe against the scraper's own status values, never written by hand.</t>
        </is>
      </c>
    </row>
    <row r="9">
      <c r="A9" s="5" t="inlineStr">
        <is>
          <t>Comps are matched on vintage</t>
        </is>
      </c>
      <c r="B9" s="5" t="inlineStr">
        <is>
          <t>Rent Comps — tiers</t>
        </is>
      </c>
      <c r="C9" s="23" t="inlineStr">
        <is>
          <t>The detailed tiers hold only communities within ten years of the subject's year built. Widening that range changes which communities are in the set, and a set that includes materially newer product will generally report a different rent — how much, and in which direction, is a property of the particular submarket and date, not a rule. Where this output set has measured the difference between two otherwise-identical comp sets on its own subject, the figures appear in the note below.</t>
        </is>
      </c>
    </row>
    <row r="10">
      <c r="A10" s="5" t="inlineStr">
        <is>
          <t>Year built comes from a free-text note, where it exists at all</t>
        </is>
      </c>
      <c r="B10" s="5" t="inlineStr">
        <is>
          <t>Rent Comps — tiers</t>
        </is>
      </c>
      <c r="C10" s="23" t="inlineStr">
        <is>
          <t>The rent tracker has no year-built column. Where a vintage appears here it was parsed out of a free-text note on the community record, and every row carries that as its source. A community with no such note keeps its place in the comp set on distance and product, shows a dash for the year, and the tier header says how many rows the vintage filter could not be applied to. Inventing a year would fabricate the evidence the filter runs on; dropping the community would hide the closest comps for want of a field the source never had.</t>
        </is>
      </c>
    </row>
    <row r="11">
      <c r="A11" s="5" t="inlineStr">
        <is>
          <t>Market rent is never a blend of new and renewal</t>
        </is>
      </c>
      <c r="B11" s="5" t="inlineStr">
        <is>
          <t>Rent Roll — Summary</t>
        </is>
      </c>
      <c r="C11" s="23" t="inlineStr">
        <is>
          <t>Market rent for the model is the new-lease average where a plan has new leases inside the lookback window, and in-place rent where it does not. It is never the average of new and renewal leases together. A blended figure reads as market rent and is not one: renewals are priced off the existing rent, so blending them in drags the number toward where rents used to be and understates the gap the underwriting is trying to measure. On an asset whose in-place rents sit above what the market is currently signing, the rule produces a market rent BELOW in-place — which is the correct and uncomfortable answer, and the one a blend would hide.</t>
        </is>
      </c>
    </row>
    <row r="12">
      <c r="A12" s="5" t="inlineStr">
        <is>
          <t>Estimated values are not published as facts</t>
        </is>
      </c>
      <c r="B12" s="5" t="inlineStr">
        <is>
          <t>throughout</t>
        </is>
      </c>
      <c r="C12" s="23" t="inlineStr">
        <is>
          <t>Where a figure is derived rather than read, the audit trail says so and names the inputs. Where a figure is unknown, the cell shows a visible hole rather than a plausible-looking number. A blank that reads as a zero is the most expensive kind of missing data, because nothing downstream flags it.</t>
        </is>
      </c>
    </row>
    <row r="13">
      <c r="A13" s="5" t="inlineStr">
        <is>
          <t>The lease trade-out report was available and deliberately not used</t>
        </is>
      </c>
      <c r="B13" s="5" t="inlineStr">
        <is>
          <t>Lease Trade-Out</t>
        </is>
      </c>
      <c r="C13" s="23" t="inlineStr">
        <is>
          <t>Where a trade-out block appears with no rows, that is because the source report was not used, not because the data does not exist. Trade-out is derived from the rent roll's own lease dates and rents instead, so every figure in this set traces back to one of three raw sources. An output whose provenance forks across more documents than it needs is harder to audit for no analytical gain.</t>
        </is>
      </c>
    </row>
    <row r="14">
      <c r="A14" s="5" t="inlineStr">
        <is>
          <t>Supply coverage is an area of ongoing work</t>
        </is>
      </c>
      <c r="B14" s="5" t="inlineStr">
        <is>
          <t>Supply</t>
        </is>
      </c>
      <c r="C14" s="23" t="inlineStr">
        <is>
          <t>The supply section is real and unmodified — the rings, stages and unit counts come from a public permit and entitlement pipeline, and a zero is a genuine zero rather than a gap left blank. Coverage of that pipeline is an area of ongoing work: a ring showing no active supply means nothing was matched in the sources covered so far, which is a weaker statement than nothing being built. This section will be expanded; read it as a floor on competing supply, not a census of it.</t>
        </is>
      </c>
    </row>
    <row r="15">
      <c r="A15" s="5" t="inlineStr">
        <is>
          <t>Checks degrade to NOT CHECKED rather than passing quietly</t>
        </is>
      </c>
      <c r="B15" s="5" t="inlineStr">
        <is>
          <t>Error Checks &amp; Pricing</t>
        </is>
      </c>
      <c r="C15" s="23" t="inlineStr">
        <is>
          <t>Every cross-tie on the checks tab reports OK, FAIL, or NOT CHECKED. A check missing one of its inputs reports NOT CHECKED and claims no difference — it never reports OK. A green result that only means 'this check could not run' is worse than a red one, because it buys confidence it has not earned.</t>
        </is>
      </c>
    </row>
    <row r="16">
      <c r="A16" s="5" t="inlineStr">
        <is>
          <t>What vintage-matching changed on this deal</t>
        </is>
      </c>
      <c r="B16" s="5" t="inlineStr">
        <is>
          <t>Rent Comps — tiers</t>
        </is>
      </c>
      <c r="C16" s="23" t="inlineStr">
        <is>
          <t>This subject was built 2019. Two comp sets were selected by identical criteria — same candidate pool, same product test, same tracker exclusions, same radius, same closest-20 cap, same rent rules, same mix weighting — differing only in whether the +/-10-year vintage test was applied. Set A, vintage test ON: 11 communities, vintages 2009 to 2029; this subject's rent reads 3.8% above it. Set B, vintage test OFF: 1 more community joins and none drops out — fewer than 20 qualify either way, so the cap never binds (vintages 1998 to 2029); the same rent reads 6.3% below it. Both figures are weighted by this property's own unit mix and computed over the same bed counts (100% of its units), so the two sets differ by 10.1 points. Every community that joins was built before 2009, set A's oldest, so set B reaches OLDER product, not newer. Both sets are listed on the Rent Comps section — this is a measurement of these two sets on this date, not an estimate of what vintage is worth in this market.</t>
        </is>
      </c>
    </row>
    <row r="17">
      <c r="A17" s="5" t="inlineStr">
        <is>
          <t>This deal does not exist</t>
        </is>
      </c>
      <c r="B17" s="5" t="inlineStr">
        <is>
          <t>throughout</t>
        </is>
      </c>
      <c r="C17" s="23" t="inlineStr">
        <is>
          <t>Fixture Park is fabricated end to end — the property, the operating statement, the rent roll, the comps and the demographics. It exists to exercise every edge the writers handle, so some of its figures are deliberately awkward: a plan with no priced units, a comp community with no published year, a revenue line the source statement never subtotalled.</t>
        </is>
      </c>
    </row>
    <row r="18">
      <c r="A18" s="5" t="inlineStr">
        <is>
          <t>The 1-mile demographic ring overstates levels</t>
        </is>
      </c>
      <c r="B18" s="5" t="inlineStr">
        <is>
          <t>Demand</t>
        </is>
      </c>
      <c r="C18" s="23" t="inlineStr">
        <is>
          <t>The 1-mile column overstates levels. Ring membership is decided by each census block group's internal point and then the whole block group is counted, so at 1 mile a single large block group can sit mostly outside the ring and still be counted whole. Measured against a commercial source, 1-mile population reads roughly 2.3x and households roughly 1.9x too high; the 3-, 5- and 10-mile columns do not have this problem. Read the 1-mile column for mix and shares, which are ratios and survive the overcount, and read levels off the 3-mile column.</t>
        </is>
      </c>
    </row>
    <row r="19">
      <c r="A19" s="5" t="inlineStr">
        <is>
          <t>The rent readback checks transcription, not column choice</t>
        </is>
      </c>
      <c r="B19" s="5" t="inlineStr">
        <is>
          <t>Error Checks &amp; Pricing</t>
        </is>
      </c>
      <c r="C19" s="23" t="inlineStr">
        <is>
          <t>Ten units are sampled and their normalized in-place rent is compared against the raw cell it came from, which catches a coercion or transcription error. It cannot catch the wrong rent column having been chosen, because both sides read the same column. The sample is seeded from the roll's as-of date, so the same roll always checks the same units.</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52"/>
  <sheetViews>
    <sheetView workbookViewId="0">
      <pane ySplit="8" topLeftCell="A9" activePane="bottomLeft" state="frozen"/>
      <selection pane="bottomLeft" activeCell="A1" sqref="A1"/>
    </sheetView>
  </sheetViews>
  <sheetFormatPr baseColWidth="8" defaultRowHeight="15"/>
  <cols>
    <col width="34" customWidth="1" min="1" max="1"/>
    <col width="22" customWidth="1" min="2" max="2"/>
    <col width="34" customWidth="1" min="3" max="3"/>
    <col width="26" customWidth="1" min="4" max="4"/>
    <col width="11" customWidth="1" min="5" max="5"/>
    <col width="34" customWidth="1" min="6" max="6"/>
    <col width="62" customWidth="1" min="7" max="7"/>
  </cols>
  <sheetData>
    <row r="1">
      <c r="A1" s="1" t="inlineStr">
        <is>
          <t>Audit trail</t>
        </is>
      </c>
    </row>
    <row r="2">
      <c r="A2" s="2" t="inlineStr">
        <is>
          <t>Fixture Park — as of 2026-06-30</t>
        </is>
      </c>
    </row>
    <row r="3">
      <c r="A3" s="2" t="inlineStr">
        <is>
          <t>Deal summary, comps, demand and supply. Every value below names the document it came from and where in it. A derived value names the values it was built from — one that could not would not have passed validation.</t>
        </is>
      </c>
    </row>
    <row r="4">
      <c r="A4" s="3" t="n"/>
      <c r="B4" s="3" t="n"/>
      <c r="C4" s="3" t="n"/>
      <c r="D4" s="3" t="n"/>
      <c r="E4" s="3" t="n"/>
      <c r="F4" s="3" t="n"/>
      <c r="G4" s="3" t="n"/>
      <c r="H4" s="3" t="n"/>
    </row>
    <row r="5">
      <c r="A5" s="13" t="inlineStr">
        <is>
          <t>Stamped values in this workbook</t>
        </is>
      </c>
      <c r="B5" s="24" t="n">
        <v>44</v>
      </c>
    </row>
    <row r="6">
      <c r="A6" s="13" t="inlineStr">
        <is>
          <t>Coverage of the required set</t>
        </is>
      </c>
      <c r="B6" t="inlineStr">
        <is>
          <t>52/52 (100%)</t>
        </is>
      </c>
    </row>
    <row r="8">
      <c r="A8" s="14" t="inlineStr">
        <is>
          <t>Value</t>
        </is>
      </c>
      <c r="B8" s="14" t="inlineStr">
        <is>
          <t>Value as published</t>
        </is>
      </c>
      <c r="C8" s="14" t="inlineStr">
        <is>
          <t>Source document</t>
        </is>
      </c>
      <c r="D8" s="14" t="inlineStr">
        <is>
          <t>Where in it</t>
        </is>
      </c>
      <c r="E8" s="14" t="inlineStr">
        <is>
          <t>How</t>
        </is>
      </c>
      <c r="F8" s="14" t="inlineStr">
        <is>
          <t>Built from</t>
        </is>
      </c>
      <c r="G8" s="14" t="inlineStr">
        <is>
          <t>Supporting quote / note</t>
        </is>
      </c>
    </row>
    <row r="9">
      <c r="A9" s="25" t="inlineStr">
        <is>
          <t>closing_costs.mortgage_tax.amount</t>
        </is>
      </c>
      <c r="B9" s="5" t="inlineStr">
        <is>
          <t>0</t>
        </is>
      </c>
      <c r="C9" s="5" t="inlineStr">
        <is>
          <t>Vendored state rate table</t>
        </is>
      </c>
      <c r="D9" s="5" t="inlineStr">
        <is>
          <t>closing_costs.MORTGAGE_TAX</t>
        </is>
      </c>
      <c r="E9" s="5" t="inlineStr">
        <is>
          <t>computed</t>
        </is>
      </c>
      <c r="F9" s="5" t="inlineStr">
        <is>
          <t>closing_costs.loan_amount, summary.state</t>
        </is>
      </c>
      <c r="G9" s="23" t="inlineStr">
        <is>
          <t>Computed on the LOAN, never on the price. With no loan amount the line is reported as not asserted rather than inferred at 100% leverage.</t>
        </is>
      </c>
    </row>
    <row r="10">
      <c r="A10" s="25" t="inlineStr">
        <is>
          <t>closing_costs.transfer_tax.amount</t>
        </is>
      </c>
      <c r="B10" s="5" t="inlineStr">
        <is>
          <t>0</t>
        </is>
      </c>
      <c r="C10" s="5" t="inlineStr">
        <is>
          <t>Vendored state rate table</t>
        </is>
      </c>
      <c r="D10" s="5" t="inlineStr">
        <is>
          <t>closing_costs.TRANSFER_TAX</t>
        </is>
      </c>
      <c r="E10" s="5" t="inlineStr">
        <is>
          <t>computed</t>
        </is>
      </c>
      <c r="F10" s="5" t="inlineStr">
        <is>
          <t>pricing.price_per_unit, pricing.unit_count, summary.state, closing_costs.price</t>
        </is>
      </c>
      <c r="G10" s="23" t="inlineStr">
        <is>
          <t>Rate applied to price_per_unit x unit_count. Per-unit statutes round the consideration up.</t>
        </is>
      </c>
    </row>
    <row r="11">
      <c r="A11" s="25" t="inlineStr">
        <is>
          <t>comps.nearby</t>
        </is>
      </c>
      <c r="B11" s="5" t="inlineStr">
        <is>
          <t>4 entries</t>
        </is>
      </c>
      <c r="C11" s="5" t="inlineStr">
        <is>
          <t>Tracked-community registry</t>
        </is>
      </c>
      <c r="D11" s="5" t="inlineStr">
        <is>
          <t>rents.communities within the radius</t>
        </is>
      </c>
      <c r="E11" s="5" t="inlineStr">
        <is>
          <t>derived</t>
        </is>
      </c>
      <c r="F11" s="5" t="inlineStr">
        <is>
          <t>comps.rows.tier</t>
        </is>
      </c>
      <c r="G11" s="23" t="inlineStr">
        <is>
          <t>Every tracked community inside the radius that is not a detail row, with the reason it is not. No rent columns.</t>
        </is>
      </c>
    </row>
    <row r="12">
      <c r="A12" s="25" t="inlineStr">
        <is>
          <t>comps.rows</t>
        </is>
      </c>
      <c r="B12" s="5" t="inlineStr">
        <is>
          <t>25 entries</t>
        </is>
      </c>
      <c r="C12" s="5" t="inlineStr">
        <is>
          <t>Synthetic weekly rent scrape</t>
        </is>
      </c>
      <c r="D12" s="5" t="inlineStr">
        <is>
          <t>—</t>
        </is>
      </c>
      <c r="E12" s="5" t="inlineStr">
        <is>
          <t>read</t>
        </is>
      </c>
      <c r="F12" s="12" t="n"/>
      <c r="G12" s="23" t="inlineStr">
        <is>
          <t>Own weekly scrape; asking and net effective stated separately.</t>
        </is>
      </c>
    </row>
    <row r="13">
      <c r="A13" s="25" t="inlineStr">
        <is>
          <t>comps.rows.tier</t>
        </is>
      </c>
      <c r="B13" s="5" t="inlineStr">
        <is>
          <t>—</t>
        </is>
      </c>
      <c r="C13" s="5" t="inlineStr">
        <is>
          <t>Tracked-community registry + the scrape</t>
        </is>
      </c>
      <c r="D13" s="5" t="inlineStr">
        <is>
          <t>comp_tiers.assign</t>
        </is>
      </c>
      <c r="E13" s="5" t="inlineStr">
        <is>
          <t>derived</t>
        </is>
      </c>
      <c r="F13" s="5" t="inlineStr">
        <is>
          <t>comps.rows.distance_mi, comps.tiering.subject_product, comps.tiering.subject_year_built, comps.tiering.year_band, comps.tiering.top_n, comps.tiering.additional_n</t>
        </is>
      </c>
      <c r="G13" s="23" t="inlineStr">
        <is>
          <t>Tier 1 = the closest 5 matching product and vintage; tier 2 = the next 15; everything else is tier 3, identity only. An unknown year does not disqualify — it is disclosed on the tier header instead.</t>
        </is>
      </c>
    </row>
    <row r="14">
      <c r="A14" s="25" t="inlineStr">
        <is>
          <t>demand.rings</t>
        </is>
      </c>
      <c r="B14" s="5" t="inlineStr">
        <is>
          <t>5 entries</t>
        </is>
      </c>
      <c r="C14" s="5" t="inlineStr">
        <is>
          <t>Synthetic public data extract</t>
        </is>
      </c>
      <c r="D14" s="5" t="inlineStr">
        <is>
          <t>—</t>
        </is>
      </c>
      <c r="E14" s="5" t="inlineStr">
        <is>
          <t>read</t>
        </is>
      </c>
      <c r="F14" s="12" t="n"/>
      <c r="G14" s="23" t="inlineStr">
        <is>
          <t>Ring demographics.</t>
        </is>
      </c>
    </row>
    <row r="15">
      <c r="A15" s="25" t="inlineStr">
        <is>
          <t>pricing.price_per_unit</t>
        </is>
      </c>
      <c r="B15" s="5" t="inlineStr">
        <is>
          <t>215,000</t>
        </is>
      </c>
      <c r="C15" s="5" t="inlineStr">
        <is>
          <t>Supplied by the operator</t>
        </is>
      </c>
      <c r="D15" s="5" t="inlineStr">
        <is>
          <t>—</t>
        </is>
      </c>
      <c r="E15" s="5" t="inlineStr">
        <is>
          <t>read</t>
        </is>
      </c>
      <c r="F15" s="12" t="n"/>
      <c r="G15" s="23" t="inlineStr">
        <is>
          <t>Illustrative. Inside the band a per-unit sale price occupies.</t>
        </is>
      </c>
    </row>
    <row r="16">
      <c r="A16" s="25" t="inlineStr">
        <is>
          <t>pricing.unit_count</t>
        </is>
      </c>
      <c r="B16" s="5" t="inlineStr">
        <is>
          <t>180</t>
        </is>
      </c>
      <c r="C16" s="5" t="inlineStr">
        <is>
          <t>Synthetic rent roll export</t>
        </is>
      </c>
      <c r="D16" s="5" t="inlineStr">
        <is>
          <t>Rent Roll!A:A</t>
        </is>
      </c>
      <c r="E16" s="5" t="inlineStr">
        <is>
          <t>derived</t>
        </is>
      </c>
      <c r="F16" s="5" t="inlineStr">
        <is>
          <t>summary.unit_count</t>
        </is>
      </c>
      <c r="G16" s="26" t="n"/>
    </row>
    <row r="17">
      <c r="A17" s="25" t="inlineStr">
        <is>
          <t>summary.assessed_value_basis</t>
        </is>
      </c>
      <c r="B17" s="5" t="inlineStr">
        <is>
          <t>23,000,000</t>
        </is>
      </c>
      <c r="C17" s="5" t="inlineStr">
        <is>
          <t>Synthetic county tax record</t>
        </is>
      </c>
      <c r="D17" s="5" t="inlineStr">
        <is>
          <t>Valuation notice</t>
        </is>
      </c>
      <c r="E17" s="5" t="inlineStr">
        <is>
          <t>read</t>
        </is>
      </c>
      <c r="F17" s="12" t="n"/>
      <c r="G17" s="26" t="n"/>
    </row>
    <row r="18">
      <c r="A18" s="25" t="inlineStr">
        <is>
          <t>summary.assessment_ratio</t>
        </is>
      </c>
      <c r="B18" s="5" t="inlineStr">
        <is>
          <t>1</t>
        </is>
      </c>
      <c r="C18" s="5" t="inlineStr">
        <is>
          <t>Synthetic county tax record</t>
        </is>
      </c>
      <c r="D18" s="5" t="inlineStr">
        <is>
          <t>Rate table</t>
        </is>
      </c>
      <c r="E18" s="5" t="inlineStr">
        <is>
          <t>read</t>
        </is>
      </c>
      <c r="F18" s="12" t="n"/>
      <c r="G18" s="26" t="n"/>
    </row>
    <row r="19">
      <c r="A19" s="25" t="inlineStr">
        <is>
          <t>summary.city</t>
        </is>
      </c>
      <c r="B19" s="5" t="inlineStr">
        <is>
          <t>Sample City</t>
        </is>
      </c>
      <c r="C19" s="5" t="inlineStr">
        <is>
          <t>Synthetic offering memorandum</t>
        </is>
      </c>
      <c r="D19" s="5" t="inlineStr">
        <is>
          <t>p.4</t>
        </is>
      </c>
      <c r="E19" s="5" t="inlineStr">
        <is>
          <t>read</t>
        </is>
      </c>
      <c r="F19" s="12" t="n"/>
      <c r="G19" s="26" t="n"/>
    </row>
    <row r="20">
      <c r="A20" s="25" t="inlineStr">
        <is>
          <t>summary.construction_status</t>
        </is>
      </c>
      <c r="B20" s="5" t="inlineStr">
        <is>
          <t>Stabilized</t>
        </is>
      </c>
      <c r="C20" s="5" t="inlineStr">
        <is>
          <t>Synthetic offering memorandum</t>
        </is>
      </c>
      <c r="D20" s="5" t="inlineStr">
        <is>
          <t>p.6</t>
        </is>
      </c>
      <c r="E20" s="5" t="inlineStr">
        <is>
          <t>read</t>
        </is>
      </c>
      <c r="F20" s="12" t="n"/>
      <c r="G20" s="26" t="n"/>
    </row>
    <row r="21">
      <c r="A21" s="25" t="inlineStr">
        <is>
          <t>summary.county</t>
        </is>
      </c>
      <c r="B21" s="5" t="inlineStr">
        <is>
          <t>Example County</t>
        </is>
      </c>
      <c r="C21" s="5" t="inlineStr">
        <is>
          <t>Synthetic offering memorandum</t>
        </is>
      </c>
      <c r="D21" s="5" t="inlineStr">
        <is>
          <t>p.4</t>
        </is>
      </c>
      <c r="E21" s="5" t="inlineStr">
        <is>
          <t>read</t>
        </is>
      </c>
      <c r="F21" s="12" t="n"/>
      <c r="G21" s="26" t="n"/>
    </row>
    <row r="22">
      <c r="A22" s="25" t="inlineStr">
        <is>
          <t>summary.deal_name</t>
        </is>
      </c>
      <c r="B22" s="5" t="inlineStr">
        <is>
          <t>Fixture Park</t>
        </is>
      </c>
      <c r="C22" s="5" t="inlineStr">
        <is>
          <t>Synthetic offering memorandum</t>
        </is>
      </c>
      <c r="D22" s="5" t="inlineStr">
        <is>
          <t>p.1</t>
        </is>
      </c>
      <c r="E22" s="5" t="inlineStr">
        <is>
          <t>read</t>
        </is>
      </c>
      <c r="F22" s="12" t="n"/>
      <c r="G22" s="23" t="inlineStr">
        <is>
          <t>Fixture Park</t>
        </is>
      </c>
    </row>
    <row r="23">
      <c r="A23" s="25" t="inlineStr">
        <is>
          <t>summary.deal_status</t>
        </is>
      </c>
      <c r="B23" s="5" t="inlineStr">
        <is>
          <t>On the market</t>
        </is>
      </c>
      <c r="C23" s="5" t="inlineStr">
        <is>
          <t>Synthetic offering memorandum</t>
        </is>
      </c>
      <c r="D23" s="5" t="inlineStr">
        <is>
          <t>p.2</t>
        </is>
      </c>
      <c r="E23" s="5" t="inlineStr">
        <is>
          <t>read</t>
        </is>
      </c>
      <c r="F23" s="12" t="n"/>
      <c r="G23" s="26" t="n"/>
    </row>
    <row r="24">
      <c r="A24" s="25" t="inlineStr">
        <is>
          <t>summary.delivery_date</t>
        </is>
      </c>
      <c r="B24" s="5" t="inlineStr">
        <is>
          <t>Delivered 2019; fully stabilized since 2021</t>
        </is>
      </c>
      <c r="C24" s="5" t="inlineStr">
        <is>
          <t>Synthetic offering memorandum</t>
        </is>
      </c>
      <c r="D24" s="5" t="inlineStr">
        <is>
          <t>p.6</t>
        </is>
      </c>
      <c r="E24" s="5" t="inlineStr">
        <is>
          <t>read</t>
        </is>
      </c>
      <c r="F24" s="12" t="n"/>
      <c r="G24" s="26" t="n"/>
    </row>
    <row r="25">
      <c r="A25" s="25" t="inlineStr">
        <is>
          <t>summary.fair_market_value</t>
        </is>
      </c>
      <c r="B25" s="5" t="inlineStr">
        <is>
          <t>39,600,000</t>
        </is>
      </c>
      <c r="C25" s="5" t="inlineStr">
        <is>
          <t>Supplied by the operator</t>
        </is>
      </c>
      <c r="D25" s="5" t="inlineStr">
        <is>
          <t>—</t>
        </is>
      </c>
      <c r="E25" s="5" t="inlineStr">
        <is>
          <t>read</t>
        </is>
      </c>
      <c r="F25" s="12" t="n"/>
      <c r="G25" s="23" t="inlineStr">
        <is>
          <t>Operator's own estimate.</t>
        </is>
      </c>
    </row>
    <row r="26">
      <c r="A26" s="25" t="inlineStr">
        <is>
          <t>summary.in_place_rent_avg</t>
        </is>
      </c>
      <c r="B26" s="5" t="inlineStr">
        <is>
          <t>1,795.36</t>
        </is>
      </c>
      <c r="C26" s="5" t="inlineStr">
        <is>
          <t>Derived by the pipeline</t>
        </is>
      </c>
      <c r="D26" s="5" t="inlineStr">
        <is>
          <t>Unit Mix Summary!E</t>
        </is>
      </c>
      <c r="E26" s="5" t="inlineStr">
        <is>
          <t>computed</t>
        </is>
      </c>
      <c r="F26" s="5" t="inlineStr">
        <is>
          <t>rent_roll.units</t>
        </is>
      </c>
      <c r="G26" s="23" t="inlineStr">
        <is>
          <t>Occupied units, straight off the roll.</t>
        </is>
      </c>
    </row>
    <row r="27">
      <c r="A27" s="25" t="inlineStr">
        <is>
          <t>summary.listing_brokerage</t>
        </is>
      </c>
      <c r="B27" s="5" t="inlineStr">
        <is>
          <t>Listing brokerage</t>
        </is>
      </c>
      <c r="C27" s="5" t="inlineStr">
        <is>
          <t>Derived by the pipeline</t>
        </is>
      </c>
      <c r="D27" s="5" t="inlineStr">
        <is>
          <t>—</t>
        </is>
      </c>
      <c r="E27" s="5" t="inlineStr">
        <is>
          <t>derived</t>
        </is>
      </c>
      <c r="F27" s="5" t="inlineStr">
        <is>
          <t>summary.seller_entity</t>
        </is>
      </c>
      <c r="G27" s="23" t="inlineStr">
        <is>
          <t>Generic label; no firm or individual is named in a published file.</t>
        </is>
      </c>
    </row>
    <row r="28">
      <c r="A28" s="25" t="inlineStr">
        <is>
          <t>summary.market_rent_for_model</t>
        </is>
      </c>
      <c r="B28" s="5" t="inlineStr">
        <is>
          <t>1,834.78</t>
        </is>
      </c>
      <c r="C28" s="5" t="inlineStr">
        <is>
          <t>Derived by the pipeline</t>
        </is>
      </c>
      <c r="D28" s="5" t="inlineStr">
        <is>
          <t>Unit Mix Summary!H</t>
        </is>
      </c>
      <c r="E28" s="5" t="inlineStr">
        <is>
          <t>computed</t>
        </is>
      </c>
      <c r="F28" s="5" t="inlineStr">
        <is>
          <t>rent_roll.units</t>
        </is>
      </c>
      <c r="G28" s="23" t="inlineStr">
        <is>
          <t>New-lease average where a plan has new leases in the window, else in-place. Never a blend.</t>
        </is>
      </c>
    </row>
    <row r="29">
      <c r="A29" s="25" t="inlineStr">
        <is>
          <t>summary.msa</t>
        </is>
      </c>
      <c r="B29" s="5" t="inlineStr">
        <is>
          <t>Sample City MSA</t>
        </is>
      </c>
      <c r="C29" s="5" t="inlineStr">
        <is>
          <t>Derived by the pipeline</t>
        </is>
      </c>
      <c r="D29" s="5" t="inlineStr">
        <is>
          <t>—</t>
        </is>
      </c>
      <c r="E29" s="5" t="inlineStr">
        <is>
          <t>derived</t>
        </is>
      </c>
      <c r="F29" s="5" t="inlineStr">
        <is>
          <t>summary.city, summary.state</t>
        </is>
      </c>
      <c r="G29" s="23" t="inlineStr">
        <is>
          <t>Metro assigned from the city/state pair.</t>
        </is>
      </c>
    </row>
    <row r="30">
      <c r="A30" s="25" t="inlineStr">
        <is>
          <t>summary.pricing_guidance</t>
        </is>
      </c>
      <c r="B30" s="5" t="inlineStr">
        <is>
          <t>$215,000 per unit (illustrative)</t>
        </is>
      </c>
      <c r="C30" s="5" t="inlineStr">
        <is>
          <t>Supplied by the operator</t>
        </is>
      </c>
      <c r="D30" s="5" t="inlineStr">
        <is>
          <t>—</t>
        </is>
      </c>
      <c r="E30" s="5" t="inlineStr">
        <is>
          <t>read</t>
        </is>
      </c>
      <c r="F30" s="12" t="n"/>
      <c r="G30" s="23" t="inlineStr">
        <is>
          <t>Illustrative figure supplied directly; not a quote or an offer.</t>
        </is>
      </c>
    </row>
    <row r="31">
      <c r="A31" s="25" t="inlineStr">
        <is>
          <t>summary.product_detail</t>
        </is>
      </c>
      <c r="B31" s="5" t="inlineStr">
        <is>
          <t>180 units across six plans: 62 one-bedroom (720–795 SF), 78 two-bedroom (1,050–1,140 SF…</t>
        </is>
      </c>
      <c r="C31" s="5" t="inlineStr">
        <is>
          <t>Synthetic offering memorandum</t>
        </is>
      </c>
      <c r="D31" s="5" t="inlineStr">
        <is>
          <t>p.7</t>
        </is>
      </c>
      <c r="E31" s="5" t="inlineStr">
        <is>
          <t>read</t>
        </is>
      </c>
      <c r="F31" s="12" t="n"/>
      <c r="G31" s="26" t="n"/>
    </row>
    <row r="32">
      <c r="A32" s="25" t="inlineStr">
        <is>
          <t>summary.product_type</t>
        </is>
      </c>
      <c r="B32" s="5" t="inlineStr">
        <is>
          <t>MF</t>
        </is>
      </c>
      <c r="C32" s="5" t="inlineStr">
        <is>
          <t>Synthetic offering memorandum</t>
        </is>
      </c>
      <c r="D32" s="5" t="inlineStr">
        <is>
          <t>p.6</t>
        </is>
      </c>
      <c r="E32" s="5" t="inlineStr">
        <is>
          <t>read</t>
        </is>
      </c>
      <c r="F32" s="12" t="n"/>
      <c r="G32" s="26" t="n"/>
    </row>
    <row r="33">
      <c r="A33" s="25" t="inlineStr">
        <is>
          <t>summary.school_elementary_name</t>
        </is>
      </c>
      <c r="B33" s="5" t="inlineStr">
        <is>
          <t>Example Creek Elementary</t>
        </is>
      </c>
      <c r="C33" s="5" t="inlineStr">
        <is>
          <t>Synthetic public data extract</t>
        </is>
      </c>
      <c r="D33" s="5" t="inlineStr">
        <is>
          <t>School attendance lookup</t>
        </is>
      </c>
      <c r="E33" s="5" t="inlineStr">
        <is>
          <t>read</t>
        </is>
      </c>
      <c r="F33" s="12" t="n"/>
      <c r="G33" s="26" t="n"/>
    </row>
    <row r="34">
      <c r="A34" s="25" t="inlineStr">
        <is>
          <t>summary.school_high_name</t>
        </is>
      </c>
      <c r="B34" s="5" t="inlineStr">
        <is>
          <t>Sample City High</t>
        </is>
      </c>
      <c r="C34" s="5" t="inlineStr">
        <is>
          <t>Synthetic public data extract</t>
        </is>
      </c>
      <c r="D34" s="5" t="inlineStr">
        <is>
          <t>School attendance lookup</t>
        </is>
      </c>
      <c r="E34" s="5" t="inlineStr">
        <is>
          <t>read</t>
        </is>
      </c>
      <c r="F34" s="12" t="n"/>
      <c r="G34" s="26" t="n"/>
    </row>
    <row r="35">
      <c r="A35" s="25" t="inlineStr">
        <is>
          <t>summary.school_middle_name</t>
        </is>
      </c>
      <c r="B35" s="5" t="inlineStr">
        <is>
          <t>Example Ridge Middle</t>
        </is>
      </c>
      <c r="C35" s="5" t="inlineStr">
        <is>
          <t>Synthetic public data extract</t>
        </is>
      </c>
      <c r="D35" s="5" t="inlineStr">
        <is>
          <t>School attendance lookup</t>
        </is>
      </c>
      <c r="E35" s="5" t="inlineStr">
        <is>
          <t>read</t>
        </is>
      </c>
      <c r="F35" s="12" t="n"/>
      <c r="G35" s="26" t="n"/>
    </row>
    <row r="36">
      <c r="A36" s="25" t="inlineStr">
        <is>
          <t>summary.seller_entity</t>
        </is>
      </c>
      <c r="B36" s="5" t="inlineStr">
        <is>
          <t>Sample City Residential Holdings LLC</t>
        </is>
      </c>
      <c r="C36" s="5" t="inlineStr">
        <is>
          <t>Synthetic offering memorandum</t>
        </is>
      </c>
      <c r="D36" s="5" t="inlineStr">
        <is>
          <t>p.2</t>
        </is>
      </c>
      <c r="E36" s="5" t="inlineStr">
        <is>
          <t>read</t>
        </is>
      </c>
      <c r="F36" s="12" t="n"/>
      <c r="G36" s="26" t="n"/>
    </row>
    <row r="37">
      <c r="A37" s="25" t="inlineStr">
        <is>
          <t>summary.state</t>
        </is>
      </c>
      <c r="B37" s="5" t="inlineStr">
        <is>
          <t>TX</t>
        </is>
      </c>
      <c r="C37" s="5" t="inlineStr">
        <is>
          <t>Synthetic offering memorandum</t>
        </is>
      </c>
      <c r="D37" s="5" t="inlineStr">
        <is>
          <t>p.4</t>
        </is>
      </c>
      <c r="E37" s="5" t="inlineStr">
        <is>
          <t>read</t>
        </is>
      </c>
      <c r="F37" s="12" t="n"/>
      <c r="G37" s="26" t="n"/>
    </row>
    <row r="38">
      <c r="A38" s="25" t="inlineStr">
        <is>
          <t>summary.street_address</t>
        </is>
      </c>
      <c r="B38" s="5" t="inlineStr">
        <is>
          <t>1400 Example Parkway</t>
        </is>
      </c>
      <c r="C38" s="5" t="inlineStr">
        <is>
          <t>Synthetic offering memorandum</t>
        </is>
      </c>
      <c r="D38" s="5" t="inlineStr">
        <is>
          <t>p.4</t>
        </is>
      </c>
      <c r="E38" s="5" t="inlineStr">
        <is>
          <t>read</t>
        </is>
      </c>
      <c r="F38" s="12" t="n"/>
      <c r="G38" s="23" t="inlineStr">
        <is>
          <t>1400 Example Parkway</t>
        </is>
      </c>
    </row>
    <row r="39">
      <c r="A39" s="25" t="inlineStr">
        <is>
          <t>summary.structure</t>
        </is>
      </c>
      <c r="B39" s="5" t="inlineStr">
        <is>
          <t>Three-story garden, surface parked</t>
        </is>
      </c>
      <c r="C39" s="5" t="inlineStr">
        <is>
          <t>Synthetic offering memorandum</t>
        </is>
      </c>
      <c r="D39" s="5" t="inlineStr">
        <is>
          <t>p.6</t>
        </is>
      </c>
      <c r="E39" s="5" t="inlineStr">
        <is>
          <t>read</t>
        </is>
      </c>
      <c r="F39" s="12" t="n"/>
      <c r="G39" s="23" t="inlineStr">
        <is>
          <t>Three-story garden, surface parked</t>
        </is>
      </c>
    </row>
    <row r="40">
      <c r="A40" s="25" t="inlineStr">
        <is>
          <t>summary.tax_area_code</t>
        </is>
      </c>
      <c r="B40" s="5" t="inlineStr">
        <is>
          <t>SYN-0000</t>
        </is>
      </c>
      <c r="C40" s="5" t="inlineStr">
        <is>
          <t>Synthetic county tax record</t>
        </is>
      </c>
      <c r="D40" s="5" t="inlineStr">
        <is>
          <t>Rate table</t>
        </is>
      </c>
      <c r="E40" s="5" t="inlineStr">
        <is>
          <t>read</t>
        </is>
      </c>
      <c r="F40" s="12" t="n"/>
      <c r="G40" s="26" t="n"/>
    </row>
    <row r="41">
      <c r="A41" s="25" t="inlineStr">
        <is>
          <t>summary.tax_basis_label</t>
        </is>
      </c>
      <c r="B41" s="5" t="inlineStr">
        <is>
          <t>Assessed value (synthetic)</t>
        </is>
      </c>
      <c r="C41" s="5" t="inlineStr">
        <is>
          <t>Synthetic county tax record</t>
        </is>
      </c>
      <c r="D41" s="5" t="inlineStr">
        <is>
          <t>Valuation notice</t>
        </is>
      </c>
      <c r="E41" s="5" t="inlineStr">
        <is>
          <t>read</t>
        </is>
      </c>
      <c r="F41" s="12" t="n"/>
      <c r="G41" s="26" t="n"/>
    </row>
    <row r="42">
      <c r="A42" s="25" t="inlineStr">
        <is>
          <t>summary.tax_basis_note</t>
        </is>
      </c>
      <c r="B42" s="5" t="inlineStr">
        <is>
          <t>Synthetic basis. On a real deal this row states what the basis IS in that state and whe…</t>
        </is>
      </c>
      <c r="C42" s="5" t="inlineStr">
        <is>
          <t>Synthetic county tax record</t>
        </is>
      </c>
      <c r="D42" s="5" t="inlineStr">
        <is>
          <t>Valuation notice</t>
        </is>
      </c>
      <c r="E42" s="5" t="inlineStr">
        <is>
          <t>read</t>
        </is>
      </c>
      <c r="F42" s="12" t="n"/>
      <c r="G42" s="26" t="n"/>
    </row>
    <row r="43">
      <c r="A43" s="25" t="inlineStr">
        <is>
          <t>summary.tax_billed_amount</t>
        </is>
      </c>
      <c r="B43" s="5" t="inlineStr">
        <is>
          <t>494,040</t>
        </is>
      </c>
      <c r="C43" s="5" t="inlineStr">
        <is>
          <t>Synthetic county tax record</t>
        </is>
      </c>
      <c r="D43" s="5" t="inlineStr">
        <is>
          <t>Tax bill</t>
        </is>
      </c>
      <c r="E43" s="5" t="inlineStr">
        <is>
          <t>read</t>
        </is>
      </c>
      <c r="F43" s="12" t="n"/>
      <c r="G43" s="26" t="n"/>
    </row>
    <row r="44">
      <c r="A44" s="25" t="inlineStr">
        <is>
          <t>summary.tax_billed_year</t>
        </is>
      </c>
      <c r="B44" s="5" t="inlineStr">
        <is>
          <t>2,025</t>
        </is>
      </c>
      <c r="C44" s="5" t="inlineStr">
        <is>
          <t>Synthetic county tax record</t>
        </is>
      </c>
      <c r="D44" s="5" t="inlineStr">
        <is>
          <t>Tax bill</t>
        </is>
      </c>
      <c r="E44" s="5" t="inlineStr">
        <is>
          <t>read</t>
        </is>
      </c>
      <c r="F44" s="12" t="n"/>
      <c r="G44" s="26" t="n"/>
    </row>
    <row r="45">
      <c r="A45" s="25" t="inlineStr">
        <is>
          <t>summary.tax_divisor</t>
        </is>
      </c>
      <c r="B45" s="5" t="inlineStr">
        <is>
          <t>100</t>
        </is>
      </c>
      <c r="C45" s="5" t="inlineStr">
        <is>
          <t>Synthetic county tax record</t>
        </is>
      </c>
      <c r="D45" s="5" t="inlineStr">
        <is>
          <t>Rate table</t>
        </is>
      </c>
      <c r="E45" s="5" t="inlineStr">
        <is>
          <t>read</t>
        </is>
      </c>
      <c r="F45" s="12" t="n"/>
      <c r="G45" s="26" t="n"/>
    </row>
    <row r="46">
      <c r="A46" s="25" t="inlineStr">
        <is>
          <t>summary.tax_exemption</t>
        </is>
      </c>
      <c r="B46" s="5" t="inlineStr">
        <is>
          <t>0</t>
        </is>
      </c>
      <c r="C46" s="5" t="inlineStr">
        <is>
          <t>Synthetic county tax record</t>
        </is>
      </c>
      <c r="D46" s="5" t="inlineStr">
        <is>
          <t>Valuation notice</t>
        </is>
      </c>
      <c r="E46" s="5" t="inlineStr">
        <is>
          <t>read</t>
        </is>
      </c>
      <c r="F46" s="12" t="n"/>
      <c r="G46" s="26" t="n"/>
    </row>
    <row r="47">
      <c r="A47" s="25" t="inlineStr">
        <is>
          <t>summary.tax_parcel_id</t>
        </is>
      </c>
      <c r="B47" s="5" t="inlineStr">
        <is>
          <t>SYN-000-00-000</t>
        </is>
      </c>
      <c r="C47" s="5" t="inlineStr">
        <is>
          <t>Synthetic county tax record</t>
        </is>
      </c>
      <c r="D47" s="5" t="inlineStr">
        <is>
          <t>Parcel record</t>
        </is>
      </c>
      <c r="E47" s="5" t="inlineStr">
        <is>
          <t>read</t>
        </is>
      </c>
      <c r="F47" s="12" t="n"/>
      <c r="G47" s="26" t="n"/>
    </row>
    <row r="48">
      <c r="A48" s="25" t="inlineStr">
        <is>
          <t>summary.tax_rate_as_billed</t>
        </is>
      </c>
      <c r="B48" s="5" t="inlineStr">
        <is>
          <t>2.15</t>
        </is>
      </c>
      <c r="C48" s="5" t="inlineStr">
        <is>
          <t>Synthetic county tax record</t>
        </is>
      </c>
      <c r="D48" s="5" t="inlineStr">
        <is>
          <t>Rate table, synthetic district</t>
        </is>
      </c>
      <c r="E48" s="5" t="inlineStr">
        <is>
          <t>read</t>
        </is>
      </c>
      <c r="F48" s="12" t="n"/>
      <c r="G48" s="26" t="n"/>
    </row>
    <row r="49">
      <c r="A49" s="25" t="inlineStr">
        <is>
          <t>summary.unit_count</t>
        </is>
      </c>
      <c r="B49" s="5" t="inlineStr">
        <is>
          <t>180</t>
        </is>
      </c>
      <c r="C49" s="5" t="inlineStr">
        <is>
          <t>Synthetic rent roll export</t>
        </is>
      </c>
      <c r="D49" s="5" t="inlineStr">
        <is>
          <t>Rent Roll!A:A</t>
        </is>
      </c>
      <c r="E49" s="5" t="inlineStr">
        <is>
          <t>derived</t>
        </is>
      </c>
      <c r="F49" s="5" t="inlineStr">
        <is>
          <t>rent_roll.units</t>
        </is>
      </c>
      <c r="G49" s="23" t="inlineStr">
        <is>
          <t>Distinct unit identifiers on the roll.</t>
        </is>
      </c>
    </row>
    <row r="50">
      <c r="A50" s="25" t="inlineStr">
        <is>
          <t>summary.year_built</t>
        </is>
      </c>
      <c r="B50" s="5" t="inlineStr">
        <is>
          <t>2,019</t>
        </is>
      </c>
      <c r="C50" s="5" t="inlineStr">
        <is>
          <t>Synthetic offering memorandum</t>
        </is>
      </c>
      <c r="D50" s="5" t="inlineStr">
        <is>
          <t>p.6</t>
        </is>
      </c>
      <c r="E50" s="5" t="inlineStr">
        <is>
          <t>read</t>
        </is>
      </c>
      <c r="F50" s="12" t="n"/>
      <c r="G50" s="26" t="n"/>
    </row>
    <row r="51">
      <c r="A51" s="25" t="inlineStr">
        <is>
          <t>summary.zip</t>
        </is>
      </c>
      <c r="B51" s="5" t="inlineStr">
        <is>
          <t>75000</t>
        </is>
      </c>
      <c r="C51" s="5" t="inlineStr">
        <is>
          <t>Synthetic offering memorandum</t>
        </is>
      </c>
      <c r="D51" s="5" t="inlineStr">
        <is>
          <t>p.4</t>
        </is>
      </c>
      <c r="E51" s="5" t="inlineStr">
        <is>
          <t>read</t>
        </is>
      </c>
      <c r="F51" s="12" t="n"/>
      <c r="G51" s="26" t="n"/>
    </row>
    <row r="52">
      <c r="A52" s="25" t="inlineStr">
        <is>
          <t>supply.rings</t>
        </is>
      </c>
      <c r="B52" s="5" t="inlineStr">
        <is>
          <t>12 entries</t>
        </is>
      </c>
      <c r="C52" s="5" t="inlineStr">
        <is>
          <t>Synthetic public data extract</t>
        </is>
      </c>
      <c r="D52" s="5" t="inlineStr">
        <is>
          <t>—</t>
        </is>
      </c>
      <c r="E52" s="5" t="inlineStr">
        <is>
          <t>read</t>
        </is>
      </c>
      <c r="F52" s="12" t="n"/>
      <c r="G52" s="23" t="inlineStr">
        <is>
          <t>Permit and entitlement records.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AI Underwriting Pipeline</dc:creator>
  <dcterms:created xsi:type="dcterms:W3CDTF">2026-09-01T00:00:00Z</dcterms:created>
  <dcterms:modified xsi:type="dcterms:W3CDTF">2026-09-01T00:00:00Z</dcterms:modified>
  <cp:lastModifiedBy>AI Underwriting Pipeline</cp:lastModifiedBy>
</cp:coreProperties>
</file>