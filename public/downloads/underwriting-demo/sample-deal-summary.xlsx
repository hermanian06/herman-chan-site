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Sample Mesa Apt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Sample Mesa Apt</t>
        </is>
      </c>
      <c r="D6" s="6" t="inlineStr">
        <is>
          <t>Illustrative name</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Diversified mix of one-, two-, and three-bedroom residences averaging 856 square feet on approximately 15.9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0" customWidth="1" min="6" max="6"/>
    <col width="10"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Sample Mesa Apt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By bed count — like for like</t>
        </is>
      </c>
      <c r="B31" s="4" t="n"/>
      <c r="C31" s="4" t="n"/>
      <c r="D31" s="4" t="n"/>
      <c r="E31" s="4" t="n"/>
    </row>
    <row r="32">
      <c r="A32" s="14" t="inlineStr">
        <is>
          <t>Beds</t>
        </is>
      </c>
      <c r="B32" s="14" t="inlineStr">
        <is>
          <t>Communities</t>
        </is>
      </c>
      <c r="C32" s="14" t="inlineStr">
        <is>
          <t>Plans</t>
        </is>
      </c>
      <c r="D32" s="14" t="inlineStr">
        <is>
          <t>Avg asking</t>
        </is>
      </c>
      <c r="E32" s="14" t="inlineStr">
        <is>
          <t>Avg net effective</t>
        </is>
      </c>
    </row>
    <row r="33">
      <c r="A33" s="5" t="inlineStr">
        <is>
          <t>1 bed</t>
        </is>
      </c>
      <c r="B33" s="7" t="n">
        <v>10</v>
      </c>
      <c r="C33" s="7" t="n">
        <v>10</v>
      </c>
      <c r="D33" s="7" t="n">
        <v>1118.3</v>
      </c>
      <c r="E33" s="7" t="n">
        <v>1068.7</v>
      </c>
    </row>
    <row r="34">
      <c r="A34" s="5" t="inlineStr">
        <is>
          <t>2 bed</t>
        </is>
      </c>
      <c r="B34" s="7" t="n">
        <v>6</v>
      </c>
      <c r="C34" s="7" t="n">
        <v>9</v>
      </c>
      <c r="D34" s="7" t="n">
        <v>1373.111111111111</v>
      </c>
      <c r="E34" s="7" t="n">
        <v>1281.222222222222</v>
      </c>
    </row>
    <row r="35"/>
    <row r="36">
      <c r="A36" s="4" t="inlineStr">
        <is>
          <t>Subject versus comp set — detailed tiers only</t>
        </is>
      </c>
      <c r="B36" s="4" t="n"/>
      <c r="C36" s="4" t="n"/>
      <c r="D36" s="4" t="n"/>
    </row>
    <row r="37">
      <c r="A37" s="5" t="inlineStr">
        <is>
          <t>Subject market rent</t>
        </is>
      </c>
      <c r="B37" s="7" t="n">
        <v>1344.6</v>
      </c>
      <c r="C37" s="6" t="inlineStr">
        <is>
          <t>Unit-weighted market rent for model, whole property.</t>
        </is>
      </c>
    </row>
    <row r="38">
      <c r="A38" s="5" t="inlineStr">
        <is>
          <t>Comp-set average asking</t>
        </is>
      </c>
      <c r="B38" s="7">
        <f>IFERROR(AVERAGE(H8:H14,H18:H29),"")</f>
        <v/>
      </c>
      <c r="C38" s="6" t="inlineStr">
        <is>
          <t>Over 10 communities in the detailed tiers (top 5 plus next 15) — never the whole radius.</t>
        </is>
      </c>
    </row>
    <row r="39">
      <c r="A39" s="5" t="inlineStr">
        <is>
          <t>Comp-set average net effective</t>
        </is>
      </c>
      <c r="B39" s="7">
        <f>IFERROR(AVERAGE(J8:J14,J18:J29),"")</f>
        <v/>
      </c>
    </row>
    <row r="40">
      <c r="A40" s="5" t="inlineStr">
        <is>
          <t>Comp set, mix-matched</t>
        </is>
      </c>
      <c r="B40" s="7" t="n">
        <v>1172.943495077356</v>
      </c>
      <c r="C40" s="6" t="inlineStr">
        <is>
          <t>Each bed count's comp net-effective weighted by the subject's own unit mix, so both sides describe the same product.</t>
        </is>
      </c>
    </row>
    <row r="41">
      <c r="A41" s="5" t="inlineStr">
        <is>
          <t>Subject rent, same bed counts</t>
        </is>
      </c>
      <c r="B41" s="7" t="n">
        <v>1314.301989343287</v>
      </c>
      <c r="C41" s="6" t="inlineStr">
        <is>
          <t>Restricted to the bed counts the comp set covers: [1, 2].</t>
        </is>
      </c>
    </row>
    <row r="42">
      <c r="A42" s="5" t="inlineStr">
        <is>
          <t>Mix coverage</t>
        </is>
      </c>
      <c r="B42" s="11" t="n">
        <v>0.9461077844311377</v>
      </c>
      <c r="C42" s="6" t="inlineStr">
        <is>
          <t>Share of the subject's units actually compared, by bed count and priced plan.</t>
        </is>
      </c>
    </row>
    <row r="43">
      <c r="A43" s="5" t="inlineStr">
        <is>
          <t>Subject vs comp set (mix-matched)</t>
        </is>
      </c>
      <c r="B43" s="11">
        <f>IFERROR(B41/B40-1,"")</f>
        <v/>
      </c>
      <c r="C43" s="6" t="inlineStr">
        <is>
          <t>Negative means the subject is underwritten BELOW the market — mark-to-market room rather than a stretch.</t>
        </is>
      </c>
    </row>
    <row r="44"/>
    <row r="45">
      <c r="A45" s="4" t="inlineStr">
        <is>
          <t>Two comp sets, selected identically except for the vintage test</t>
        </is>
      </c>
      <c r="B45" s="4" t="n"/>
      <c r="C45" s="4" t="n"/>
      <c r="D45" s="4" t="n"/>
      <c r="E45" s="4" t="n"/>
    </row>
    <row r="46">
      <c r="A46" s="6" t="inlineStr">
        <is>
          <t>Held fixed in both: candidate pool, product test, tracker comp exclusions, radius, closest-20 cap, per-community rent rules, mix weighting. Varied: the +/-10-year vintage test only.</t>
        </is>
      </c>
    </row>
    <row r="47">
      <c r="A47" s="14" t="inlineStr">
        <is>
          <t>Comp set</t>
        </is>
      </c>
      <c r="B47" s="14" t="inlineStr">
        <is>
          <t>Communities</t>
        </is>
      </c>
      <c r="C47" s="14" t="inlineStr">
        <is>
          <t>Vintages</t>
        </is>
      </c>
      <c r="D47" s="14" t="inlineStr">
        <is>
          <t>Comp net effective</t>
        </is>
      </c>
      <c r="E47" s="14" t="inlineStr">
        <is>
          <t>Subject reads</t>
        </is>
      </c>
    </row>
    <row r="48">
      <c r="A48" s="5" t="inlineStr">
        <is>
          <t>A — vintage test ON</t>
        </is>
      </c>
      <c r="B48" s="7" t="n">
        <v>10</v>
      </c>
      <c r="C48" s="5" t="inlineStr">
        <is>
          <t>1981–1987</t>
        </is>
      </c>
      <c r="D48" s="7" t="n">
        <v>1172.943495077356</v>
      </c>
      <c r="E48" s="11" t="n">
        <v>0.1205160307032596</v>
      </c>
    </row>
    <row r="49">
      <c r="A49" s="5" t="inlineStr">
        <is>
          <t>B — vintage test OFF</t>
        </is>
      </c>
      <c r="B49" s="7" t="n">
        <v>13</v>
      </c>
      <c r="C49" s="5" t="inlineStr">
        <is>
          <t>1981–2018</t>
        </is>
      </c>
      <c r="D49" s="7" t="n">
        <v>1217.446518987342</v>
      </c>
      <c r="E49" s="11" t="n">
        <v>0.07955624238550407</v>
      </c>
    </row>
    <row r="50">
      <c r="A50" s="18" t="inlineStr">
        <is>
          <t>Difference between the two sets</t>
        </is>
      </c>
      <c r="B50" s="19" t="n"/>
      <c r="C50" s="19" t="n"/>
      <c r="D50" s="20" t="n">
        <v>44.50302390998604</v>
      </c>
      <c r="E50" s="21" t="n">
        <v>0.04095978831775549</v>
      </c>
    </row>
    <row r="51"/>
    <row r="52">
      <c r="A52" s="5" t="inlineStr">
        <is>
          <t>In B but not A</t>
        </is>
      </c>
      <c r="B52" s="5" t="inlineStr">
        <is>
          <t>Lindsay Palms Apartments, The Premiere at Dana Park, Vista Grove</t>
        </is>
      </c>
    </row>
    <row r="53">
      <c r="A53" s="5" t="inlineStr">
        <is>
          <t>In A but not B</t>
        </is>
      </c>
      <c r="B53" s="5" t="inlineStr">
        <is>
          <t>—</t>
        </is>
      </c>
    </row>
    <row r="54">
      <c r="A54"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55"/>
    <row r="56">
      <c r="A56" s="4" t="inlineStr">
        <is>
          <t>Stated in the offering memorandum</t>
        </is>
      </c>
      <c r="B56" s="4" t="n"/>
      <c r="C56" s="4" t="n"/>
      <c r="D56" s="4" t="n"/>
      <c r="E56" s="4" t="n"/>
      <c r="F56" s="4" t="n"/>
      <c r="G56" s="4" t="n"/>
      <c r="H56" s="4" t="n"/>
      <c r="I56" s="4" t="n"/>
      <c r="J56" s="4" t="n"/>
    </row>
    <row r="57">
      <c r="A57" s="2" t="inlineStr">
        <is>
          <t>The memorandum's stated comparables are withheld: they would place the real asset.</t>
        </is>
      </c>
    </row>
    <row r="58">
      <c r="A58"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Sample Mesa Apt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Sample Mesa Apt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 width="18" customWidth="1" min="5" max="5"/>
    <col width="22" customWidth="1" min="6" max="6"/>
    <col width="10" customWidth="1" min="7" max="7"/>
    <col width="10" customWidth="1" min="8" max="8"/>
    <col width="32" customWidth="1" min="9" max="9"/>
    <col width="13" customWidth="1" min="10" max="10"/>
    <col width="17" customWidth="1" min="11" max="11"/>
    <col width="41" customWidth="1" min="12" max="12"/>
  </cols>
  <sheetData>
    <row r="1">
      <c r="A1" s="1" t="inlineStr">
        <is>
          <t>Competing supply</t>
        </is>
      </c>
    </row>
    <row r="2">
      <c r="A2" s="2" t="inlineStr">
        <is>
          <t>Sample Mesa Apt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row r="23"/>
    <row r="24">
      <c r="A24" s="4" t="inlineStr">
        <is>
          <t>Projects within 3 miles</t>
        </is>
      </c>
      <c r="B24" s="4" t="n"/>
      <c r="C24" s="4" t="n"/>
      <c r="D24" s="4" t="n"/>
      <c r="E24" s="4" t="n"/>
      <c r="F24" s="4" t="n"/>
    </row>
    <row r="25">
      <c r="A25" s="5" t="inlineStr">
        <is>
          <t>One row per development, at the furthest stage the pipeline shows; a dash means the source did not state it.</t>
        </is>
      </c>
    </row>
    <row r="26">
      <c r="A26" s="14" t="inlineStr">
        <is>
          <t>Project</t>
        </is>
      </c>
      <c r="B26" s="14" t="inlineStr">
        <is>
          <t>Distance (mi)</t>
        </is>
      </c>
      <c r="C26" s="14" t="inlineStr">
        <is>
          <t>Stage</t>
        </is>
      </c>
      <c r="D26" s="14" t="inlineStr">
        <is>
          <t>Units</t>
        </is>
      </c>
      <c r="E26" s="14" t="inlineStr">
        <is>
          <t>Type</t>
        </is>
      </c>
      <c r="F26" s="14" t="inlineStr">
        <is>
          <t>Address</t>
        </is>
      </c>
      <c r="G26" s="14" t="inlineStr">
        <is>
          <t>City</t>
        </is>
      </c>
      <c r="H26" s="14" t="inlineStr">
        <is>
          <t>Acres</t>
        </is>
      </c>
      <c r="I26" s="14" t="inlineStr">
        <is>
          <t>Developer</t>
        </is>
      </c>
      <c r="J26" s="14" t="inlineStr">
        <is>
          <t>First filed</t>
        </is>
      </c>
      <c r="K26" s="14" t="inlineStr">
        <is>
          <t>Latest activity</t>
        </is>
      </c>
      <c r="L26" s="14" t="inlineStr">
        <is>
          <t>Source layers</t>
        </is>
      </c>
    </row>
    <row r="27">
      <c r="A27" s="5" t="inlineStr">
        <is>
          <t>Reed Park Residences</t>
        </is>
      </c>
      <c r="B27" s="10" t="n">
        <v>0.95</v>
      </c>
      <c r="C27" s="5" t="inlineStr">
        <is>
          <t>Entitlement</t>
        </is>
      </c>
      <c r="D27" s="7" t="n">
        <v>72</v>
      </c>
      <c r="E27" s="5" t="inlineStr">
        <is>
          <t>multifamily</t>
        </is>
      </c>
      <c r="F27" s="5" t="inlineStr">
        <is>
          <t>—</t>
        </is>
      </c>
      <c r="G27" s="5" t="inlineStr">
        <is>
          <t>—</t>
        </is>
      </c>
      <c r="H27" s="10" t="n">
        <v>3.22</v>
      </c>
      <c r="I27" s="5" t="inlineStr">
        <is>
          <t>—</t>
        </is>
      </c>
      <c r="J27" s="5" t="inlineStr">
        <is>
          <t>2026-07-03</t>
        </is>
      </c>
      <c r="K27" s="5" t="inlineStr">
        <is>
          <t>2026-07-03</t>
        </is>
      </c>
      <c r="L27" s="5" t="inlineStr">
        <is>
          <t>Entitlement</t>
        </is>
      </c>
    </row>
    <row r="28">
      <c r="A28" s="5" t="inlineStr">
        <is>
          <t>539 S WILLIAMS</t>
        </is>
      </c>
      <c r="B28" s="10" t="n">
        <v>0.97</v>
      </c>
      <c r="C28" s="5" t="inlineStr">
        <is>
          <t>Permitted</t>
        </is>
      </c>
      <c r="D28" s="7" t="n">
        <v>36</v>
      </c>
      <c r="E28" s="5" t="inlineStr">
        <is>
          <t>apartment_rental</t>
        </is>
      </c>
      <c r="F28" s="5" t="inlineStr">
        <is>
          <t>539 S WILLIAMS</t>
        </is>
      </c>
      <c r="G28" s="5" t="inlineStr">
        <is>
          <t>Mesa</t>
        </is>
      </c>
      <c r="H28" s="10" t="n">
        <v>1.03</v>
      </c>
      <c r="I28" s="5" t="inlineStr">
        <is>
          <t>—</t>
        </is>
      </c>
      <c r="J28" s="5" t="inlineStr">
        <is>
          <t>2023-10-30</t>
        </is>
      </c>
      <c r="K28" s="5" t="inlineStr">
        <is>
          <t>2026-08-26</t>
        </is>
      </c>
      <c r="L28" s="5" t="inlineStr">
        <is>
          <t>County permits</t>
        </is>
      </c>
    </row>
    <row r="29">
      <c r="A29" s="5" t="inlineStr">
        <is>
          <t>Flats At Reed Park</t>
        </is>
      </c>
      <c r="B29" s="10" t="n">
        <v>0.98</v>
      </c>
      <c r="C29" s="5" t="inlineStr">
        <is>
          <t>Entitlement</t>
        </is>
      </c>
      <c r="D29" s="5" t="inlineStr">
        <is>
          <t>—</t>
        </is>
      </c>
      <c r="E29" s="5" t="inlineStr">
        <is>
          <t>multifamily</t>
        </is>
      </c>
      <c r="F29" s="5" t="inlineStr">
        <is>
          <t>—</t>
        </is>
      </c>
      <c r="G29" s="5" t="inlineStr">
        <is>
          <t>MESA</t>
        </is>
      </c>
      <c r="H29" s="5" t="inlineStr">
        <is>
          <t>—</t>
        </is>
      </c>
      <c r="I29" s="5" t="inlineStr">
        <is>
          <t>—</t>
        </is>
      </c>
      <c r="J29" s="5" t="inlineStr">
        <is>
          <t>2025-03-06</t>
        </is>
      </c>
      <c r="K29" s="5" t="inlineStr">
        <is>
          <t>—</t>
        </is>
      </c>
      <c r="L29" s="5" t="inlineStr">
        <is>
          <t>NOI radar (Arizona DEQ)</t>
        </is>
      </c>
    </row>
    <row r="30">
      <c r="A30" s="5" t="inlineStr">
        <is>
          <t>2102 E BROADWAY RD</t>
        </is>
      </c>
      <c r="B30" s="10" t="n">
        <v>1.03</v>
      </c>
      <c r="C30" s="5" t="inlineStr">
        <is>
          <t>Permitted</t>
        </is>
      </c>
      <c r="D30" s="5" t="inlineStr">
        <is>
          <t>—</t>
        </is>
      </c>
      <c r="E30" s="5" t="inlineStr">
        <is>
          <t>apartment_rental</t>
        </is>
      </c>
      <c r="F30" s="5" t="inlineStr">
        <is>
          <t>2102 E BROADWAY RD</t>
        </is>
      </c>
      <c r="G30" s="5" t="inlineStr">
        <is>
          <t>Mesa</t>
        </is>
      </c>
      <c r="H30" s="5" t="inlineStr">
        <is>
          <t>—</t>
        </is>
      </c>
      <c r="I30" s="5" t="inlineStr">
        <is>
          <t>—</t>
        </is>
      </c>
      <c r="J30" s="5" t="inlineStr">
        <is>
          <t>2026-03-02</t>
        </is>
      </c>
      <c r="K30" s="5" t="inlineStr">
        <is>
          <t>2026-04-02</t>
        </is>
      </c>
      <c r="L30" s="5" t="inlineStr">
        <is>
          <t>County permits</t>
        </is>
      </c>
    </row>
    <row r="31">
      <c r="A31" s="5" t="inlineStr">
        <is>
          <t>The Groves Apartments</t>
        </is>
      </c>
      <c r="B31" s="10" t="n">
        <v>1.04</v>
      </c>
      <c r="C31" s="5" t="inlineStr">
        <is>
          <t>Permitted</t>
        </is>
      </c>
      <c r="D31" s="7" t="n">
        <v>37</v>
      </c>
      <c r="E31" s="5" t="inlineStr">
        <is>
          <t>apartment_rental</t>
        </is>
      </c>
      <c r="F31" s="5" t="inlineStr">
        <is>
          <t>2030 E BROADWAY RD</t>
        </is>
      </c>
      <c r="G31" s="5" t="inlineStr">
        <is>
          <t>Mesa</t>
        </is>
      </c>
      <c r="H31" s="5" t="inlineStr">
        <is>
          <t>—</t>
        </is>
      </c>
      <c r="I31" s="5" t="inlineStr">
        <is>
          <t>—</t>
        </is>
      </c>
      <c r="J31" s="5" t="inlineStr">
        <is>
          <t>2026-05-05</t>
        </is>
      </c>
      <c r="K31" s="5" t="inlineStr">
        <is>
          <t>2026-05-11</t>
        </is>
      </c>
      <c r="L31" s="5" t="inlineStr">
        <is>
          <t>County permits</t>
        </is>
      </c>
    </row>
    <row r="32">
      <c r="A32" s="5" t="inlineStr">
        <is>
          <t>3 Four 5 Villas</t>
        </is>
      </c>
      <c r="B32" s="10" t="n">
        <v>1.11</v>
      </c>
      <c r="C32" s="5" t="inlineStr">
        <is>
          <t>Entitlement</t>
        </is>
      </c>
      <c r="D32" s="7" t="n">
        <v>15</v>
      </c>
      <c r="E32" s="5" t="inlineStr">
        <is>
          <t>multifamily</t>
        </is>
      </c>
      <c r="F32" s="5" t="inlineStr">
        <is>
          <t>—</t>
        </is>
      </c>
      <c r="G32" s="5" t="inlineStr">
        <is>
          <t>—</t>
        </is>
      </c>
      <c r="H32" s="10" t="n">
        <v>1.07</v>
      </c>
      <c r="I32" s="5" t="inlineStr">
        <is>
          <t>—</t>
        </is>
      </c>
      <c r="J32" s="5" t="inlineStr">
        <is>
          <t>2026-07-03</t>
        </is>
      </c>
      <c r="K32" s="5" t="inlineStr">
        <is>
          <t>2026-07-03</t>
        </is>
      </c>
      <c r="L32" s="5" t="inlineStr">
        <is>
          <t>Entitlement</t>
        </is>
      </c>
    </row>
    <row r="33">
      <c r="A33" s="5" t="inlineStr">
        <is>
          <t>Countryside Manor</t>
        </is>
      </c>
      <c r="B33" s="10" t="n">
        <v>1.29</v>
      </c>
      <c r="C33" s="5" t="inlineStr">
        <is>
          <t>Entitlement</t>
        </is>
      </c>
      <c r="D33" s="7" t="n">
        <v>40</v>
      </c>
      <c r="E33" s="5" t="inlineStr">
        <is>
          <t>multifamily</t>
        </is>
      </c>
      <c r="F33" s="5" t="inlineStr">
        <is>
          <t>—</t>
        </is>
      </c>
      <c r="G33" s="5" t="inlineStr">
        <is>
          <t>—</t>
        </is>
      </c>
      <c r="H33" s="10" t="n">
        <v>2.27</v>
      </c>
      <c r="I33" s="5" t="inlineStr">
        <is>
          <t>—</t>
        </is>
      </c>
      <c r="J33" s="5" t="inlineStr">
        <is>
          <t>2026-07-03</t>
        </is>
      </c>
      <c r="K33" s="5" t="inlineStr">
        <is>
          <t>2026-07-03</t>
        </is>
      </c>
      <c r="L33" s="5" t="inlineStr">
        <is>
          <t>Entitlement</t>
        </is>
      </c>
    </row>
    <row r="34">
      <c r="A34" s="5" t="inlineStr">
        <is>
          <t>La Jolla Villas</t>
        </is>
      </c>
      <c r="B34" s="10" t="n">
        <v>1.59</v>
      </c>
      <c r="C34" s="5" t="inlineStr">
        <is>
          <t>Entitlement</t>
        </is>
      </c>
      <c r="D34" s="7" t="n">
        <v>15</v>
      </c>
      <c r="E34" s="5" t="inlineStr">
        <is>
          <t>multifamily</t>
        </is>
      </c>
      <c r="F34" s="5" t="inlineStr">
        <is>
          <t>—</t>
        </is>
      </c>
      <c r="G34" s="5" t="inlineStr">
        <is>
          <t>—</t>
        </is>
      </c>
      <c r="H34" s="10" t="n">
        <v>1.07</v>
      </c>
      <c r="I34" s="5" t="inlineStr">
        <is>
          <t>—</t>
        </is>
      </c>
      <c r="J34" s="5" t="inlineStr">
        <is>
          <t>2026-07-03</t>
        </is>
      </c>
      <c r="K34" s="5" t="inlineStr">
        <is>
          <t>2026-07-03</t>
        </is>
      </c>
      <c r="L34" s="5" t="inlineStr">
        <is>
          <t>Entitlement</t>
        </is>
      </c>
    </row>
    <row r="35">
      <c r="A35" s="5" t="inlineStr">
        <is>
          <t>1424 E DANA AVE</t>
        </is>
      </c>
      <c r="B35" s="10" t="n">
        <v>1.61</v>
      </c>
      <c r="C35" s="5" t="inlineStr">
        <is>
          <t>Permitted</t>
        </is>
      </c>
      <c r="D35" s="7" t="n">
        <v>4</v>
      </c>
      <c r="E35" s="5" t="inlineStr">
        <is>
          <t>apartment_rental</t>
        </is>
      </c>
      <c r="F35" s="5" t="inlineStr">
        <is>
          <t>1424 E DANA AVE</t>
        </is>
      </c>
      <c r="G35" s="5" t="inlineStr">
        <is>
          <t>Mesa</t>
        </is>
      </c>
      <c r="H35" s="10" t="n">
        <v>0.076</v>
      </c>
      <c r="I35" s="5" t="inlineStr">
        <is>
          <t>—</t>
        </is>
      </c>
      <c r="J35" s="5" t="inlineStr">
        <is>
          <t>2026-02-11</t>
        </is>
      </c>
      <c r="K35" s="5" t="inlineStr">
        <is>
          <t>2026-05-21</t>
        </is>
      </c>
      <c r="L35" s="5" t="inlineStr">
        <is>
          <t>County permits</t>
        </is>
      </c>
    </row>
    <row r="36">
      <c r="A36" s="5" t="inlineStr">
        <is>
          <t>Dana Park Village Square</t>
        </is>
      </c>
      <c r="B36" s="10" t="n">
        <v>1.65</v>
      </c>
      <c r="C36" s="5" t="inlineStr">
        <is>
          <t>Entitlement</t>
        </is>
      </c>
      <c r="D36" s="7" t="n">
        <v>36</v>
      </c>
      <c r="E36" s="5" t="inlineStr">
        <is>
          <t>multifamily</t>
        </is>
      </c>
      <c r="F36" s="5" t="inlineStr">
        <is>
          <t>—</t>
        </is>
      </c>
      <c r="G36" s="5" t="inlineStr">
        <is>
          <t>—</t>
        </is>
      </c>
      <c r="H36" s="10" t="n">
        <v>4.25</v>
      </c>
      <c r="I36" s="5" t="inlineStr">
        <is>
          <t>—</t>
        </is>
      </c>
      <c r="J36" s="5" t="inlineStr">
        <is>
          <t>2026-07-03</t>
        </is>
      </c>
      <c r="K36" s="5" t="inlineStr">
        <is>
          <t>2026-07-03</t>
        </is>
      </c>
      <c r="L36" s="5" t="inlineStr">
        <is>
          <t>Entitlement</t>
        </is>
      </c>
    </row>
    <row r="37">
      <c r="A37" s="5" t="inlineStr">
        <is>
          <t>214 N GILBERT RD 111</t>
        </is>
      </c>
      <c r="B37" s="10" t="n">
        <v>1.79</v>
      </c>
      <c r="C37" s="5" t="inlineStr">
        <is>
          <t>Permitted</t>
        </is>
      </c>
      <c r="D37" s="5" t="inlineStr">
        <is>
          <t>—</t>
        </is>
      </c>
      <c r="E37" s="5" t="inlineStr">
        <is>
          <t>apartment_rental</t>
        </is>
      </c>
      <c r="F37" s="5" t="inlineStr">
        <is>
          <t>214 N GILBERT RD 111</t>
        </is>
      </c>
      <c r="G37" s="5" t="inlineStr">
        <is>
          <t>Mesa</t>
        </is>
      </c>
      <c r="H37" s="5" t="inlineStr">
        <is>
          <t>—</t>
        </is>
      </c>
      <c r="I37" s="5" t="inlineStr">
        <is>
          <t>—</t>
        </is>
      </c>
      <c r="J37" s="5" t="inlineStr">
        <is>
          <t>2023-02-23</t>
        </is>
      </c>
      <c r="K37" s="5" t="inlineStr">
        <is>
          <t>2023-03-01</t>
        </is>
      </c>
      <c r="L37" s="5" t="inlineStr">
        <is>
          <t>County permits</t>
        </is>
      </c>
    </row>
    <row r="38">
      <c r="A38" s="5" t="inlineStr">
        <is>
          <t>Case ID: Z08-017 - 110 S Allen Rd</t>
        </is>
      </c>
      <c r="B38" s="10" t="n">
        <v>1.79</v>
      </c>
      <c r="C38" s="5" t="inlineStr">
        <is>
          <t>Entitlement</t>
        </is>
      </c>
      <c r="D38" s="7" t="n">
        <v>9</v>
      </c>
      <c r="E38" s="5" t="inlineStr">
        <is>
          <t>multifamily</t>
        </is>
      </c>
      <c r="F38" s="5" t="inlineStr">
        <is>
          <t>—</t>
        </is>
      </c>
      <c r="G38" s="5" t="inlineStr">
        <is>
          <t>—</t>
        </is>
      </c>
      <c r="H38" s="10" t="n">
        <v>1.11</v>
      </c>
      <c r="I38" s="5" t="inlineStr">
        <is>
          <t>—</t>
        </is>
      </c>
      <c r="J38" s="5" t="inlineStr">
        <is>
          <t>2026-07-03</t>
        </is>
      </c>
      <c r="K38" s="5" t="inlineStr">
        <is>
          <t>2026-07-03</t>
        </is>
      </c>
      <c r="L38" s="5" t="inlineStr">
        <is>
          <t>Entitlement</t>
        </is>
      </c>
    </row>
    <row r="39">
      <c r="A39" s="5" t="inlineStr">
        <is>
          <t>Tangerine</t>
        </is>
      </c>
      <c r="B39" s="10" t="n">
        <v>2.09</v>
      </c>
      <c r="C39" s="5" t="inlineStr">
        <is>
          <t>Entitlement</t>
        </is>
      </c>
      <c r="D39" s="7" t="n">
        <v>29</v>
      </c>
      <c r="E39" s="5" t="inlineStr">
        <is>
          <t>multifamily</t>
        </is>
      </c>
      <c r="F39" s="5" t="inlineStr">
        <is>
          <t>—</t>
        </is>
      </c>
      <c r="G39" s="5" t="inlineStr">
        <is>
          <t>—</t>
        </is>
      </c>
      <c r="H39" s="10" t="n">
        <v>2.06</v>
      </c>
      <c r="I39" s="5" t="inlineStr">
        <is>
          <t>—</t>
        </is>
      </c>
      <c r="J39" s="5" t="inlineStr">
        <is>
          <t>2026-07-03</t>
        </is>
      </c>
      <c r="K39" s="5" t="inlineStr">
        <is>
          <t>2026-07-03</t>
        </is>
      </c>
      <c r="L39" s="5" t="inlineStr">
        <is>
          <t>Entitlement</t>
        </is>
      </c>
    </row>
    <row r="40">
      <c r="A40" s="5" t="inlineStr">
        <is>
          <t>3020 E MAIN ST</t>
        </is>
      </c>
      <c r="B40" s="10" t="n">
        <v>2.12</v>
      </c>
      <c r="C40" s="5" t="inlineStr">
        <is>
          <t>Permitted</t>
        </is>
      </c>
      <c r="D40" s="5" t="inlineStr">
        <is>
          <t>—</t>
        </is>
      </c>
      <c r="E40" s="5" t="inlineStr">
        <is>
          <t>apartment_rental</t>
        </is>
      </c>
      <c r="F40" s="5" t="inlineStr">
        <is>
          <t>3020 E MAIN ST</t>
        </is>
      </c>
      <c r="G40" s="5" t="inlineStr">
        <is>
          <t>Mesa</t>
        </is>
      </c>
      <c r="H40" s="5" t="inlineStr">
        <is>
          <t>—</t>
        </is>
      </c>
      <c r="I40" s="5" t="inlineStr">
        <is>
          <t>—</t>
        </is>
      </c>
      <c r="J40" s="5" t="inlineStr">
        <is>
          <t>2023-07-27</t>
        </is>
      </c>
      <c r="K40" s="5" t="inlineStr">
        <is>
          <t>2023-08-03</t>
        </is>
      </c>
      <c r="L40" s="5" t="inlineStr">
        <is>
          <t>County permits</t>
        </is>
      </c>
    </row>
    <row r="41">
      <c r="A41" s="5" t="inlineStr">
        <is>
          <t>La Mesa Village Apartments</t>
        </is>
      </c>
      <c r="B41" s="10" t="n">
        <v>2.22</v>
      </c>
      <c r="C41" s="5" t="inlineStr">
        <is>
          <t>Entitlement</t>
        </is>
      </c>
      <c r="D41" s="5" t="inlineStr">
        <is>
          <t>—</t>
        </is>
      </c>
      <c r="E41" s="5" t="inlineStr">
        <is>
          <t>multifamily</t>
        </is>
      </c>
      <c r="F41" s="5" t="inlineStr">
        <is>
          <t>—</t>
        </is>
      </c>
      <c r="G41" s="5" t="inlineStr">
        <is>
          <t>MESA</t>
        </is>
      </c>
      <c r="H41" s="5" t="inlineStr">
        <is>
          <t>—</t>
        </is>
      </c>
      <c r="I41" s="5" t="inlineStr">
        <is>
          <t>—</t>
        </is>
      </c>
      <c r="J41" s="5" t="inlineStr">
        <is>
          <t>2024-10-29</t>
        </is>
      </c>
      <c r="K41" s="5" t="inlineStr">
        <is>
          <t>—</t>
        </is>
      </c>
      <c r="L41" s="5" t="inlineStr">
        <is>
          <t>NOI radar (Arizona DEQ)</t>
        </is>
      </c>
    </row>
    <row r="42">
      <c r="A42" s="5" t="inlineStr">
        <is>
          <t>505 S LESUEUR C</t>
        </is>
      </c>
      <c r="B42" s="10" t="n">
        <v>2.24</v>
      </c>
      <c r="C42" s="5" t="inlineStr">
        <is>
          <t>Permitted</t>
        </is>
      </c>
      <c r="D42" s="5" t="inlineStr">
        <is>
          <t>—</t>
        </is>
      </c>
      <c r="E42" s="5" t="inlineStr">
        <is>
          <t>apartment_rental</t>
        </is>
      </c>
      <c r="F42" s="5" t="inlineStr">
        <is>
          <t>505 S LESUEUR C</t>
        </is>
      </c>
      <c r="G42" s="5" t="inlineStr">
        <is>
          <t>Mesa</t>
        </is>
      </c>
      <c r="H42" s="5" t="inlineStr">
        <is>
          <t>—</t>
        </is>
      </c>
      <c r="I42" s="5" t="inlineStr">
        <is>
          <t>—</t>
        </is>
      </c>
      <c r="J42" s="5" t="inlineStr">
        <is>
          <t>2020-07-01</t>
        </is>
      </c>
      <c r="K42" s="5" t="inlineStr">
        <is>
          <t>2020-07-23</t>
        </is>
      </c>
      <c r="L42" s="5" t="inlineStr">
        <is>
          <t>County permits</t>
        </is>
      </c>
    </row>
    <row r="43">
      <c r="A43" s="5" t="inlineStr">
        <is>
          <t>Pioneer Place</t>
        </is>
      </c>
      <c r="B43" s="10" t="n">
        <v>2.25</v>
      </c>
      <c r="C43" s="5" t="inlineStr">
        <is>
          <t>Entitlement</t>
        </is>
      </c>
      <c r="D43" s="7" t="n">
        <v>9</v>
      </c>
      <c r="E43" s="5" t="inlineStr">
        <is>
          <t>mixed</t>
        </is>
      </c>
      <c r="F43" s="5" t="inlineStr">
        <is>
          <t>—</t>
        </is>
      </c>
      <c r="G43" s="5" t="inlineStr">
        <is>
          <t>—</t>
        </is>
      </c>
      <c r="H43" s="10" t="n">
        <v>0.83</v>
      </c>
      <c r="I43" s="5" t="inlineStr">
        <is>
          <t>—</t>
        </is>
      </c>
      <c r="J43" s="5" t="inlineStr">
        <is>
          <t>2026-07-03</t>
        </is>
      </c>
      <c r="K43" s="5" t="inlineStr">
        <is>
          <t>2026-07-03</t>
        </is>
      </c>
      <c r="L43" s="5" t="inlineStr">
        <is>
          <t>Entitlement</t>
        </is>
      </c>
    </row>
    <row r="44">
      <c r="A44" s="5" t="inlineStr">
        <is>
          <t>PS16-006 A New Leaf Apartment Bldg</t>
        </is>
      </c>
      <c r="B44" s="10" t="n">
        <v>2.33</v>
      </c>
      <c r="C44" s="5" t="inlineStr">
        <is>
          <t>Entitlement</t>
        </is>
      </c>
      <c r="D44" s="7" t="n">
        <v>40</v>
      </c>
      <c r="E44" s="5" t="inlineStr">
        <is>
          <t>multifamily</t>
        </is>
      </c>
      <c r="F44" s="5" t="inlineStr">
        <is>
          <t>—</t>
        </is>
      </c>
      <c r="G44" s="5" t="inlineStr">
        <is>
          <t>—</t>
        </is>
      </c>
      <c r="H44" s="10" t="n">
        <v>1.74</v>
      </c>
      <c r="I44" s="5" t="inlineStr">
        <is>
          <t>—</t>
        </is>
      </c>
      <c r="J44" s="5" t="inlineStr">
        <is>
          <t>2026-07-03</t>
        </is>
      </c>
      <c r="K44" s="5" t="inlineStr">
        <is>
          <t>2026-07-03</t>
        </is>
      </c>
      <c r="L44" s="5" t="inlineStr">
        <is>
          <t>Entitlement</t>
        </is>
      </c>
    </row>
    <row r="45">
      <c r="A45" s="5" t="inlineStr">
        <is>
          <t>3426 E UNIVERSITY DR</t>
        </is>
      </c>
      <c r="B45" s="10" t="n">
        <v>2.55</v>
      </c>
      <c r="C45" s="5" t="inlineStr">
        <is>
          <t>Permitted</t>
        </is>
      </c>
      <c r="D45" s="7" t="n">
        <v>36</v>
      </c>
      <c r="E45" s="5" t="inlineStr">
        <is>
          <t>apartment_rental</t>
        </is>
      </c>
      <c r="F45" s="5" t="inlineStr">
        <is>
          <t>3426 E UNIVERSITY DR</t>
        </is>
      </c>
      <c r="G45" s="5" t="inlineStr">
        <is>
          <t>Mesa</t>
        </is>
      </c>
      <c r="H45" s="5" t="inlineStr">
        <is>
          <t>—</t>
        </is>
      </c>
      <c r="I45" s="5" t="inlineStr">
        <is>
          <t>—</t>
        </is>
      </c>
      <c r="J45" s="5" t="inlineStr">
        <is>
          <t>2021-02-15</t>
        </is>
      </c>
      <c r="K45" s="5" t="inlineStr">
        <is>
          <t>2021-09-27</t>
        </is>
      </c>
      <c r="L45" s="5" t="inlineStr">
        <is>
          <t>County permits</t>
        </is>
      </c>
    </row>
    <row r="46">
      <c r="A46" s="5" t="inlineStr">
        <is>
          <t>455 E MAIN ST</t>
        </is>
      </c>
      <c r="B46" s="10" t="n">
        <v>2.57</v>
      </c>
      <c r="C46" s="5" t="inlineStr">
        <is>
          <t>Permitted</t>
        </is>
      </c>
      <c r="D46" s="5" t="inlineStr">
        <is>
          <t>—</t>
        </is>
      </c>
      <c r="E46" s="5" t="inlineStr">
        <is>
          <t>apartment_rental</t>
        </is>
      </c>
      <c r="F46" s="5" t="inlineStr">
        <is>
          <t>455 E MAIN ST</t>
        </is>
      </c>
      <c r="G46" s="5" t="inlineStr">
        <is>
          <t>Mesa</t>
        </is>
      </c>
      <c r="H46" s="5" t="inlineStr">
        <is>
          <t>—</t>
        </is>
      </c>
      <c r="I46" s="5" t="inlineStr">
        <is>
          <t>—</t>
        </is>
      </c>
      <c r="J46" s="5" t="inlineStr">
        <is>
          <t>2019-03-07</t>
        </is>
      </c>
      <c r="K46" s="5" t="inlineStr">
        <is>
          <t>2020-12-08</t>
        </is>
      </c>
      <c r="L46" s="5" t="inlineStr">
        <is>
          <t>County permits</t>
        </is>
      </c>
    </row>
    <row r="47">
      <c r="A47" s="5" t="inlineStr">
        <is>
          <t>Van Damme Residence</t>
        </is>
      </c>
      <c r="B47" s="10" t="n">
        <v>2.58</v>
      </c>
      <c r="C47" s="5" t="inlineStr">
        <is>
          <t>Entitlement</t>
        </is>
      </c>
      <c r="D47" s="7" t="n">
        <v>2</v>
      </c>
      <c r="E47" s="5" t="inlineStr">
        <is>
          <t>multifamily</t>
        </is>
      </c>
      <c r="F47" s="5" t="inlineStr">
        <is>
          <t>—</t>
        </is>
      </c>
      <c r="G47" s="5" t="inlineStr">
        <is>
          <t>—</t>
        </is>
      </c>
      <c r="H47" s="10" t="n">
        <v>0.16</v>
      </c>
      <c r="I47" s="5" t="inlineStr">
        <is>
          <t>—</t>
        </is>
      </c>
      <c r="J47" s="5" t="inlineStr">
        <is>
          <t>2026-07-03</t>
        </is>
      </c>
      <c r="K47" s="5" t="inlineStr">
        <is>
          <t>2026-07-03</t>
        </is>
      </c>
      <c r="L47" s="5" t="inlineStr">
        <is>
          <t>Entitlement</t>
        </is>
      </c>
    </row>
    <row r="48">
      <c r="A48" s="5" t="inlineStr">
        <is>
          <t>LEGACY SQUARE</t>
        </is>
      </c>
      <c r="B48" s="10" t="n">
        <v>2.6</v>
      </c>
      <c r="C48" s="5" t="inlineStr">
        <is>
          <t>Permitted</t>
        </is>
      </c>
      <c r="D48" s="7" t="n">
        <v>110</v>
      </c>
      <c r="E48" s="5" t="inlineStr">
        <is>
          <t>multifamily</t>
        </is>
      </c>
      <c r="F48" s="5" t="inlineStr">
        <is>
          <t>140 S POMEROY</t>
        </is>
      </c>
      <c r="G48" s="5" t="inlineStr">
        <is>
          <t>MESA</t>
        </is>
      </c>
      <c r="H48" s="5" t="inlineStr">
        <is>
          <t>—</t>
        </is>
      </c>
      <c r="I48" s="5" t="inlineStr">
        <is>
          <t>Willow Bridge Property Company</t>
        </is>
      </c>
      <c r="J48" s="5" t="inlineStr">
        <is>
          <t>2025-02-06</t>
        </is>
      </c>
      <c r="K48" s="5" t="inlineStr">
        <is>
          <t>2025-07-03</t>
        </is>
      </c>
      <c r="L48" s="5" t="inlineStr">
        <is>
          <t>County permits, NOI radar (Arizona DEQ)</t>
        </is>
      </c>
    </row>
    <row r="49">
      <c r="A49" s="5" t="inlineStr">
        <is>
          <t>Cadillac Aparments</t>
        </is>
      </c>
      <c r="B49" s="10" t="n">
        <v>2.64</v>
      </c>
      <c r="C49" s="5" t="inlineStr">
        <is>
          <t>Entitlement</t>
        </is>
      </c>
      <c r="D49" s="7" t="n">
        <v>7</v>
      </c>
      <c r="E49" s="5" t="inlineStr">
        <is>
          <t>multifamily</t>
        </is>
      </c>
      <c r="F49" s="5" t="inlineStr">
        <is>
          <t>—</t>
        </is>
      </c>
      <c r="G49" s="5" t="inlineStr">
        <is>
          <t>—</t>
        </is>
      </c>
      <c r="H49" s="10" t="n">
        <v>0.85</v>
      </c>
      <c r="I49" s="5" t="inlineStr">
        <is>
          <t>—</t>
        </is>
      </c>
      <c r="J49" s="5" t="inlineStr">
        <is>
          <t>2026-07-03</t>
        </is>
      </c>
      <c r="K49" s="5" t="inlineStr">
        <is>
          <t>2026-07-03</t>
        </is>
      </c>
      <c r="L49" s="5" t="inlineStr">
        <is>
          <t>Entitlement</t>
        </is>
      </c>
    </row>
    <row r="50">
      <c r="A50" s="5" t="inlineStr">
        <is>
          <t>Clare House Social</t>
        </is>
      </c>
      <c r="B50" s="10" t="n">
        <v>2.65</v>
      </c>
      <c r="C50" s="5" t="inlineStr">
        <is>
          <t>Entitlement</t>
        </is>
      </c>
      <c r="D50" s="5" t="inlineStr">
        <is>
          <t>—</t>
        </is>
      </c>
      <c r="E50" s="5" t="inlineStr">
        <is>
          <t>mixed</t>
        </is>
      </c>
      <c r="F50" s="5" t="inlineStr">
        <is>
          <t>—</t>
        </is>
      </c>
      <c r="G50" s="5" t="inlineStr">
        <is>
          <t>—</t>
        </is>
      </c>
      <c r="H50" s="5" t="inlineStr">
        <is>
          <t>—</t>
        </is>
      </c>
      <c r="I50" s="5" t="inlineStr">
        <is>
          <t>—</t>
        </is>
      </c>
      <c r="J50" s="5" t="inlineStr">
        <is>
          <t>2026-07-03</t>
        </is>
      </c>
      <c r="K50" s="5" t="inlineStr">
        <is>
          <t>2026-07-03</t>
        </is>
      </c>
      <c r="L50" s="5" t="inlineStr">
        <is>
          <t>Entitlement</t>
        </is>
      </c>
    </row>
    <row r="51">
      <c r="A51" s="5" t="inlineStr">
        <is>
          <t>The Lumberyard</t>
        </is>
      </c>
      <c r="B51" s="10" t="n">
        <v>2.71</v>
      </c>
      <c r="C51" s="5" t="inlineStr">
        <is>
          <t>Entitlement</t>
        </is>
      </c>
      <c r="D51" s="5" t="inlineStr">
        <is>
          <t>—</t>
        </is>
      </c>
      <c r="E51" s="5" t="inlineStr">
        <is>
          <t>multifamily</t>
        </is>
      </c>
      <c r="F51" s="5" t="inlineStr">
        <is>
          <t>—</t>
        </is>
      </c>
      <c r="G51" s="5" t="inlineStr">
        <is>
          <t>—</t>
        </is>
      </c>
      <c r="H51" s="5" t="inlineStr">
        <is>
          <t>—</t>
        </is>
      </c>
      <c r="I51" s="5" t="inlineStr">
        <is>
          <t>—</t>
        </is>
      </c>
      <c r="J51" s="5" t="inlineStr">
        <is>
          <t>2025-05-15</t>
        </is>
      </c>
      <c r="K51" s="5" t="inlineStr">
        <is>
          <t>2025-05-15</t>
        </is>
      </c>
      <c r="L51" s="5" t="inlineStr">
        <is>
          <t>Entitlement</t>
        </is>
      </c>
    </row>
    <row r="52">
      <c r="A52" s="5" t="inlineStr">
        <is>
          <t>The Brundrett Building</t>
        </is>
      </c>
      <c r="B52" s="10" t="n">
        <v>2.72</v>
      </c>
      <c r="C52" s="5" t="inlineStr">
        <is>
          <t>Entitlement</t>
        </is>
      </c>
      <c r="D52" s="5" t="inlineStr">
        <is>
          <t>—</t>
        </is>
      </c>
      <c r="E52" s="5" t="inlineStr">
        <is>
          <t>mixed</t>
        </is>
      </c>
      <c r="F52" s="5" t="inlineStr">
        <is>
          <t>—</t>
        </is>
      </c>
      <c r="G52" s="5" t="inlineStr">
        <is>
          <t>—</t>
        </is>
      </c>
      <c r="H52" s="5" t="inlineStr">
        <is>
          <t>—</t>
        </is>
      </c>
      <c r="I52" s="5" t="inlineStr">
        <is>
          <t>—</t>
        </is>
      </c>
      <c r="J52" s="5" t="inlineStr">
        <is>
          <t>2025-05-15</t>
        </is>
      </c>
      <c r="K52" s="5" t="inlineStr">
        <is>
          <t>2026-07-03</t>
        </is>
      </c>
      <c r="L52" s="5" t="inlineStr">
        <is>
          <t>Entitlement</t>
        </is>
      </c>
    </row>
    <row r="53">
      <c r="A53" s="5" t="inlineStr">
        <is>
          <t>233 E MAIN ST</t>
        </is>
      </c>
      <c r="B53" s="10" t="n">
        <v>2.76</v>
      </c>
      <c r="C53" s="5" t="inlineStr">
        <is>
          <t>Permitted</t>
        </is>
      </c>
      <c r="D53" s="5" t="inlineStr">
        <is>
          <t>—</t>
        </is>
      </c>
      <c r="E53" s="5" t="inlineStr">
        <is>
          <t>apartment_rental</t>
        </is>
      </c>
      <c r="F53" s="5" t="inlineStr">
        <is>
          <t>233 E MAIN ST</t>
        </is>
      </c>
      <c r="G53" s="5" t="inlineStr">
        <is>
          <t>Mesa</t>
        </is>
      </c>
      <c r="H53" s="5" t="inlineStr">
        <is>
          <t>—</t>
        </is>
      </c>
      <c r="I53" s="5" t="inlineStr">
        <is>
          <t>—</t>
        </is>
      </c>
      <c r="J53" s="5" t="inlineStr">
        <is>
          <t>2020-01-27</t>
        </is>
      </c>
      <c r="K53" s="5" t="inlineStr">
        <is>
          <t>2022-02-16</t>
        </is>
      </c>
      <c r="L53" s="5" t="inlineStr">
        <is>
          <t>County permits</t>
        </is>
      </c>
    </row>
    <row r="54">
      <c r="A54" s="5" t="inlineStr">
        <is>
          <t>NEC Neely St and Aviary Way</t>
        </is>
      </c>
      <c r="B54" s="10" t="n">
        <v>2.79</v>
      </c>
      <c r="C54" s="5" t="inlineStr">
        <is>
          <t>Entitlement</t>
        </is>
      </c>
      <c r="D54" s="7" t="n">
        <v>99</v>
      </c>
      <c r="E54" s="5" t="inlineStr">
        <is>
          <t>multifamily</t>
        </is>
      </c>
      <c r="F54" s="5" t="inlineStr">
        <is>
          <t>—</t>
        </is>
      </c>
      <c r="G54" s="5" t="inlineStr">
        <is>
          <t>—</t>
        </is>
      </c>
      <c r="H54" s="10" t="n">
        <v>11.75</v>
      </c>
      <c r="I54" s="5" t="inlineStr">
        <is>
          <t>—</t>
        </is>
      </c>
      <c r="J54" s="5" t="inlineStr">
        <is>
          <t>2026-07-03</t>
        </is>
      </c>
      <c r="K54" s="5" t="inlineStr">
        <is>
          <t>2026-07-03</t>
        </is>
      </c>
      <c r="L54" s="5" t="inlineStr">
        <is>
          <t>Entitlement</t>
        </is>
      </c>
    </row>
    <row r="55">
      <c r="A55" s="5" t="inlineStr">
        <is>
          <t>Mesa Main Street Apartments</t>
        </is>
      </c>
      <c r="B55" s="10" t="n">
        <v>2.81</v>
      </c>
      <c r="C55" s="5" t="inlineStr">
        <is>
          <t>Entitlement</t>
        </is>
      </c>
      <c r="D55" s="7" t="n">
        <v>36</v>
      </c>
      <c r="E55" s="5" t="inlineStr">
        <is>
          <t>multifamily</t>
        </is>
      </c>
      <c r="F55" s="5" t="inlineStr">
        <is>
          <t>—</t>
        </is>
      </c>
      <c r="G55" s="5" t="inlineStr">
        <is>
          <t>—</t>
        </is>
      </c>
      <c r="H55" s="10" t="n">
        <v>4.33</v>
      </c>
      <c r="I55" s="5" t="inlineStr">
        <is>
          <t>—</t>
        </is>
      </c>
      <c r="J55" s="5" t="inlineStr">
        <is>
          <t>2026-07-03</t>
        </is>
      </c>
      <c r="K55" s="5" t="inlineStr">
        <is>
          <t>2026-07-03</t>
        </is>
      </c>
      <c r="L55" s="5" t="inlineStr">
        <is>
          <t>Entitlement</t>
        </is>
      </c>
    </row>
    <row r="56">
      <c r="A56" s="5" t="inlineStr">
        <is>
          <t>145 E MAIN ST 1</t>
        </is>
      </c>
      <c r="B56" s="10" t="n">
        <v>2.89</v>
      </c>
      <c r="C56" s="5" t="inlineStr">
        <is>
          <t>Permitted</t>
        </is>
      </c>
      <c r="D56" s="7" t="n">
        <v>335</v>
      </c>
      <c r="E56" s="5" t="inlineStr">
        <is>
          <t>apartment_rental</t>
        </is>
      </c>
      <c r="F56" s="5" t="inlineStr">
        <is>
          <t>145 E MAIN ST 1</t>
        </is>
      </c>
      <c r="G56" s="5" t="inlineStr">
        <is>
          <t>Mesa</t>
        </is>
      </c>
      <c r="H56" s="5" t="inlineStr">
        <is>
          <t>—</t>
        </is>
      </c>
      <c r="I56" s="5" t="inlineStr">
        <is>
          <t>—</t>
        </is>
      </c>
      <c r="J56" s="5" t="inlineStr">
        <is>
          <t>2021-04-01</t>
        </is>
      </c>
      <c r="K56" s="5" t="inlineStr">
        <is>
          <t>2021-12-06</t>
        </is>
      </c>
      <c r="L56" s="5" t="inlineStr">
        <is>
          <t>County permits</t>
        </is>
      </c>
    </row>
    <row r="57">
      <c r="A57" s="5" t="inlineStr">
        <is>
          <t>Fiesta Rose Garden</t>
        </is>
      </c>
      <c r="B57" s="10" t="n">
        <v>2.93</v>
      </c>
      <c r="C57" s="5" t="inlineStr">
        <is>
          <t>Entitlement</t>
        </is>
      </c>
      <c r="D57" s="7" t="n">
        <v>12</v>
      </c>
      <c r="E57" s="5" t="inlineStr">
        <is>
          <t>multifamily</t>
        </is>
      </c>
      <c r="F57" s="5" t="inlineStr">
        <is>
          <t>—</t>
        </is>
      </c>
      <c r="G57" s="5" t="inlineStr">
        <is>
          <t>—</t>
        </is>
      </c>
      <c r="H57" s="10" t="n">
        <v>1.03</v>
      </c>
      <c r="I57" s="5" t="inlineStr">
        <is>
          <t>—</t>
        </is>
      </c>
      <c r="J57" s="5" t="inlineStr">
        <is>
          <t>2026-07-03</t>
        </is>
      </c>
      <c r="K57" s="5" t="inlineStr">
        <is>
          <t>2026-07-03</t>
        </is>
      </c>
      <c r="L57" s="5" t="inlineStr">
        <is>
          <t>Entitlement</t>
        </is>
      </c>
    </row>
    <row r="58">
      <c r="A58" s="5" t="inlineStr">
        <is>
          <t>NWC Gilbert Rd and Elliot Rd</t>
        </is>
      </c>
      <c r="B58" s="10" t="n">
        <v>2.99</v>
      </c>
      <c r="C58" s="5" t="inlineStr">
        <is>
          <t>Entitlement</t>
        </is>
      </c>
      <c r="D58" s="7" t="n">
        <v>200</v>
      </c>
      <c r="E58" s="5" t="inlineStr">
        <is>
          <t>mixed</t>
        </is>
      </c>
      <c r="F58" s="5" t="inlineStr">
        <is>
          <t>—</t>
        </is>
      </c>
      <c r="G58" s="5" t="inlineStr">
        <is>
          <t>—</t>
        </is>
      </c>
      <c r="H58" s="10" t="n">
        <v>2.19</v>
      </c>
      <c r="I58" s="5" t="inlineStr">
        <is>
          <t>—</t>
        </is>
      </c>
      <c r="J58" s="5" t="inlineStr">
        <is>
          <t>2026-07-03</t>
        </is>
      </c>
      <c r="K58" s="5" t="inlineStr">
        <is>
          <t>2026-07-03</t>
        </is>
      </c>
      <c r="L58" s="5" t="inlineStr">
        <is>
          <t>Entitlement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Sample Mesa Apt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candidates without letting a distant one outrank a close one. A community the scrape tracks but could not quote is not dropped: it is carried, with the reason it is not a comp, in the downloadable interchange file.</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sits at an illustrative address</t>
        </is>
      </c>
      <c r="B18" s="5" t="inlineStr">
        <is>
          <t>throughout</t>
        </is>
      </c>
      <c r="C18" s="22"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the 32 development(s) within 3 mi are listed by name, one row each, at the furthest stage the pipeline shows; beyond that radius the rings are counts only.</t>
        </is>
      </c>
    </row>
    <row r="23">
      <c r="A23" s="5" t="inlineStr">
        <is>
          <t>About the market pull</t>
        </is>
      </c>
      <c r="B23" s="5" t="inlineStr">
        <is>
          <t>Rent Comps / Demand / Supply</t>
        </is>
      </c>
      <c r="C23" s="22" t="inlineStr">
        <is>
          <t>Supply: 214 row(s) were the same development on more than one lifecycle layer and were counted once, at the furthest stage the pipeline shows.</t>
        </is>
      </c>
    </row>
    <row r="24">
      <c r="A24" s="5" t="inlineStr">
        <is>
          <t>About the market pull</t>
        </is>
      </c>
      <c r="B24" s="5" t="inlineStr">
        <is>
          <t>Rent Comps / Demand / Supply</t>
        </is>
      </c>
      <c r="C24" s="22" t="inlineStr">
        <is>
          <t>Supply: 145 project(s) without a unit count are counted as projects and add zero units — the unit figure is a floor, not a total.</t>
        </is>
      </c>
    </row>
    <row r="25">
      <c r="A25" s="5" t="inlineStr">
        <is>
          <t>About the market pull</t>
        </is>
      </c>
      <c r="B25" s="5" t="inlineStr">
        <is>
          <t>Rent Comps / Demand / Supply</t>
        </is>
      </c>
      <c r="C25" s="22" t="inlineStr">
        <is>
          <t>Supply pipeline: Supply: layers are lifecycle views of the SAME market — a project can appear as an NOI and later as a permit; never sum a tab's rows across layers.</t>
        </is>
      </c>
    </row>
    <row r="26">
      <c r="A26" s="5" t="inlineStr">
        <is>
          <t>About the market pull</t>
        </is>
      </c>
      <c r="B26" s="5" t="inlineStr">
        <is>
          <t>Rent Comps / Demand / Supply</t>
        </is>
      </c>
      <c r="C26" s="22" t="inlineStr">
        <is>
          <t>Supply pipeline: Supply: county/SFD 'Units' are measured where the permit carries them; NOI and entitlement 'Units' are acreage-derived ESTIMATES (capped 300) — treat as indicative.</t>
        </is>
      </c>
    </row>
    <row r="27">
      <c r="A27" s="5" t="inlineStr">
        <is>
          <t>About the market pull</t>
        </is>
      </c>
      <c r="B27" s="5" t="inlineStr">
        <is>
          <t>Rent Comps / Demand / Supply</t>
        </is>
      </c>
      <c r="C27" s="22" t="inlineStr">
        <is>
          <t>Supply pipeline: Supply: 'Lead — entitlement' rows are pre-permit LEADS (~40-65% eventually build), not committed supply; their Status shows the de-risk funnel (prospect / NOI nearby / permit nearby).</t>
        </is>
      </c>
    </row>
    <row r="28">
      <c r="A28" s="5" t="inlineStr">
        <is>
          <t>About the market pull</t>
        </is>
      </c>
      <c r="B28" s="5" t="inlineStr">
        <is>
          <t>Rent Comps / Demand / Supply</t>
        </is>
      </c>
      <c r="C28" s="22" t="inlineStr">
        <is>
          <t>Supply pipeline: Supply BFR: the detached SFD-tract layer exists for Charlotte / Las Vegas / Nashville / Tampa today; elsewhere detached product shows via NOI radar + entitlement tiers. Phoenix has no attached-BFR NOI arm.</t>
        </is>
      </c>
    </row>
    <row r="29">
      <c r="A29" s="5" t="inlineStr">
        <is>
          <t>About the market pull</t>
        </is>
      </c>
      <c r="B29" s="5" t="inlineStr">
        <is>
          <t>Rent Comps / Demand / Supply</t>
        </is>
      </c>
      <c r="C29" s="22" t="inlineStr">
        <is>
          <t>Rent comps: 344 of 351 communities in the radius carry a year built (parsed from the tracker's vendor note); those are vintage-tested against the subject, the rest are matched on distance and product only and say so.</t>
        </is>
      </c>
    </row>
    <row r="30">
      <c r="A30" s="5" t="inlineStr">
        <is>
          <t>About the market pull</t>
        </is>
      </c>
      <c r="B30" s="5" t="inlineStr">
        <is>
          <t>Rent Comps / Demand / Supply</t>
        </is>
      </c>
      <c r="C30" s="22" t="inlineStr">
        <is>
          <t>Rent comps: the in-radius population (351 communities) was read from the service's audit rows with the registry's product, exclusion flag and year built; the 331 beyond its 20 preselected are tiered on those but carry no quoted rent, so they are carried in the interchange file without one.</t>
        </is>
      </c>
    </row>
    <row r="31">
      <c r="A31" s="5" t="inlineStr">
        <is>
          <t>About the market pull</t>
        </is>
      </c>
      <c r="B31" s="5" t="inlineStr">
        <is>
          <t>Rent Comps / Demand / Supply</t>
        </is>
      </c>
      <c r="C31" s="22" t="inlineStr">
        <is>
          <t>Rent comps: the service did not provide the lowest-five rent measure; rows marked 'group floor' quote the single lowest listing, which reads BELOW the lowest-five average.</t>
        </is>
      </c>
    </row>
    <row r="32">
      <c r="A32" s="5" t="inlineStr">
        <is>
          <t>About the market pull</t>
        </is>
      </c>
      <c r="B32" s="5" t="inlineStr">
        <is>
          <t>Rent Comps / Demand / Supply</t>
        </is>
      </c>
      <c r="C32" s="22" t="inlineStr">
        <is>
          <t>Rent comps: 1 community name(s) would fail the publishing check and are withheld; their rows stay, by distance and units.</t>
        </is>
      </c>
    </row>
    <row r="33">
      <c r="A33" s="5" t="inlineStr">
        <is>
          <t>About the market pull</t>
        </is>
      </c>
      <c r="B33" s="5" t="inlineStr">
        <is>
          <t>Rent Comps / Demand / Supply</t>
        </is>
      </c>
      <c r="C33" s="22" t="inlineStr">
        <is>
          <t>Rent comps: 13 unit group(s) the tracker flagged for review were not quoted.</t>
        </is>
      </c>
    </row>
    <row r="34">
      <c r="A34" s="5" t="inlineStr">
        <is>
          <t>About the market pull</t>
        </is>
      </c>
      <c r="B34" s="5" t="inlineStr">
        <is>
          <t>Rent Comps / Demand / Supply</t>
        </is>
      </c>
      <c r="C34" s="22" t="inlineStr">
        <is>
          <t>1 tracked community within the radius withheld from the comp set: the real asset this sample derives from.</t>
        </is>
      </c>
    </row>
    <row r="35">
      <c r="A35" s="5" t="inlineStr">
        <is>
          <t>About this run</t>
        </is>
      </c>
      <c r="B35" s="5" t="inlineStr">
        <is>
          <t>Notes &amp; Disclosures</t>
        </is>
      </c>
      <c r="C35"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6">
      <c r="A36" s="5" t="inlineStr">
        <is>
          <t>About this run</t>
        </is>
      </c>
      <c r="B36" s="5" t="inlineStr">
        <is>
          <t>Notes &amp; Disclosures</t>
        </is>
      </c>
      <c r="C36" s="22" t="inlineStr">
        <is>
          <t>6 unit(s) appeared twice in the export (1060, 1077, 1104, 1146, 2021, 2107); kept the lease in place on the as-of date and dropped the incoming lease.</t>
        </is>
      </c>
    </row>
    <row r="37">
      <c r="A37" s="5" t="inlineStr">
        <is>
          <t>About this run</t>
        </is>
      </c>
      <c r="B37" s="5" t="inlineStr">
        <is>
          <t>Notes &amp; Disclosures</t>
        </is>
      </c>
      <c r="C37" s="22" t="inlineStr">
        <is>
          <t>40 account line(s) below the statement's NET OPERATING INCOME row were left out of operating results (capital, reserves or other non-operating items, by the statement's own layout).</t>
        </is>
      </c>
    </row>
    <row r="38">
      <c r="A38" s="5" t="inlineStr">
        <is>
          <t>About this run</t>
        </is>
      </c>
      <c r="B38" s="5" t="inlineStr">
        <is>
          <t>Notes &amp; Disclosures</t>
        </is>
      </c>
      <c r="C38" s="22" t="inlineStr">
        <is>
          <t>Ties to the statement's own printed subtotals: revenue, operating expenses, NOI.</t>
        </is>
      </c>
    </row>
    <row r="39">
      <c r="A39" s="5" t="inlineStr">
        <is>
          <t>About this run</t>
        </is>
      </c>
      <c r="B39" s="5" t="inlineStr">
        <is>
          <t>Notes &amp; Disclosures</t>
        </is>
      </c>
      <c r="C39" s="22" t="inlineStr">
        <is>
          <t>The market report (demand, supply, comps) did not run: the market-report service is not configured on this deployment (MARKET_REPORT_URL / MARKET_REPORT_TOKEN unset).</t>
        </is>
      </c>
    </row>
    <row r="40">
      <c r="A40" s="5" t="inlineStr">
        <is>
          <t>About this run</t>
        </is>
      </c>
      <c r="B40" s="5" t="inlineStr">
        <is>
          <t>Notes &amp; Disclosures</t>
        </is>
      </c>
      <c r="C40" s="22" t="inlineStr">
        <is>
          <t>OM comparables: 3 stated comparable(s) the model read were withheld because a figure or quote could not be verified against the memorandum's own words.</t>
        </is>
      </c>
    </row>
    <row r="41">
      <c r="A41" s="5" t="inlineStr">
        <is>
          <t>About this run</t>
        </is>
      </c>
      <c r="B41" s="5" t="inlineStr">
        <is>
          <t>Notes &amp; Disclosures</t>
        </is>
      </c>
      <c r="C41"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2">
      <c r="A42" s="5" t="inlineStr">
        <is>
          <t>About this run</t>
        </is>
      </c>
      <c r="B42" s="5" t="inlineStr">
        <is>
          <t>Notes &amp; Disclosures</t>
        </is>
      </c>
      <c r="C42"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3">
      <c r="A43" s="5" t="inlineStr">
        <is>
          <t>About this run</t>
        </is>
      </c>
      <c r="B43" s="5" t="inlineStr">
        <is>
          <t>Notes &amp; Disclosures</t>
        </is>
      </c>
      <c r="C43" s="22" t="inlineStr">
        <is>
          <t>The uploaded rent roll stated the PERIOD it covers rather than a day: as-of taken as 2026-08-31, the last day of the stated period 202608. Every window on this page (the new-lease lookback and annualised turnover) is measured back from that date, not from the day of the upload.</t>
        </is>
      </c>
    </row>
    <row r="44">
      <c r="A44" s="5" t="inlineStr">
        <is>
          <t>About this run</t>
        </is>
      </c>
      <c r="B44" s="5" t="inlineStr">
        <is>
          <t>Notes &amp; Disclosures</t>
        </is>
      </c>
      <c r="C44"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0"/>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Sample Mesa Apt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52</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 Carried in the interchange file; not shown as a table.</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Sample Mesa Apt</t>
        </is>
      </c>
      <c r="C25" s="5" t="inlineStr">
        <is>
          <t>Illustrative name</t>
        </is>
      </c>
      <c r="D25" s="5" t="inlineStr">
        <is>
          <t>—</t>
        </is>
      </c>
      <c r="E25" s="5" t="inlineStr">
        <is>
          <t>read</t>
        </is>
      </c>
      <c r="F25" s="12" t="n"/>
      <c r="G25" s="22" t="inlineStr">
        <is>
          <t>An illustrative name for the public sample. The real asset's name is withheld; the memorandum's own name for it does not appear anywhere in this set.</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Internal pipeline only</t>
        </is>
      </c>
      <c r="D28" s="5" t="inlineStr">
        <is>
          <t>—</t>
        </is>
      </c>
      <c r="E28" s="5" t="inlineStr">
        <is>
          <t>read</t>
        </is>
      </c>
      <c r="F28" s="12" t="n"/>
      <c r="G28" s="22" t="inlineStr">
        <is>
          <t>The internal pipeline pulls a market value by web lookup; the demo does not reach the web.</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Desert Ridge Capital Advisors</t>
        </is>
      </c>
      <c r="C30" s="5" t="inlineStr">
        <is>
          <t>Illustrative name</t>
        </is>
      </c>
      <c r="D30" s="5" t="inlineStr">
        <is>
          <t>—</t>
        </is>
      </c>
      <c r="E30" s="5" t="inlineStr">
        <is>
          <t>read</t>
        </is>
      </c>
      <c r="F30" s="12" t="n"/>
      <c r="G30" s="22" t="inlineStr">
        <is>
          <t>An illustrative name. The real party is withheld from the public sample.</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Diversified mix of one-, two-, and three-bedroom residences averaging 856 square feet o…</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Porter Elementary School</t>
        </is>
      </c>
      <c r="C36" s="5" t="inlineStr">
        <is>
          <t>Internal underwriting agent — attendance-zone school lookup</t>
        </is>
      </c>
      <c r="D36" s="5" t="inlineStr">
        <is>
          <t>2151 E Southern Ave, Mesa, AZ 85204 on 2026-09-14</t>
        </is>
      </c>
      <c r="E36" s="5" t="inlineStr">
        <is>
          <t>read</t>
        </is>
      </c>
      <c r="F36" s="12" t="n"/>
      <c r="G36" s="22" t="inlineStr">
        <is>
          <t>Looked up for the illustrative address by the internal underwriting agent; the public demo does not run this on an uploaded deal.</t>
        </is>
      </c>
    </row>
    <row r="37">
      <c r="A37" s="24" t="inlineStr">
        <is>
          <t>summary.school_high_name</t>
        </is>
      </c>
      <c r="B37" s="5" t="inlineStr">
        <is>
          <t>Mesa High School</t>
        </is>
      </c>
      <c r="C37" s="5" t="inlineStr">
        <is>
          <t>Internal underwriting agent — attendance-zone school lookup</t>
        </is>
      </c>
      <c r="D37" s="5" t="inlineStr">
        <is>
          <t>2151 E Southern Ave, Mesa, AZ 85204 on 2026-09-14</t>
        </is>
      </c>
      <c r="E37" s="5" t="inlineStr">
        <is>
          <t>read</t>
        </is>
      </c>
      <c r="F37" s="12" t="n"/>
      <c r="G37" s="22" t="inlineStr">
        <is>
          <t>Looked up for the illustrative address by the internal underwriting agent; the public demo does not run this on an uploaded deal.</t>
        </is>
      </c>
    </row>
    <row r="38">
      <c r="A38" s="24" t="inlineStr">
        <is>
          <t>summary.school_middle_name</t>
        </is>
      </c>
      <c r="B38" s="5" t="inlineStr">
        <is>
          <t>Taylor Junior High School</t>
        </is>
      </c>
      <c r="C38" s="5" t="inlineStr">
        <is>
          <t>Internal underwriting agent — attendance-zone school lookup</t>
        </is>
      </c>
      <c r="D38" s="5" t="inlineStr">
        <is>
          <t>2151 E Southern Ave, Mesa, AZ 85204 on 2026-09-14</t>
        </is>
      </c>
      <c r="E38" s="5" t="inlineStr">
        <is>
          <t>read</t>
        </is>
      </c>
      <c r="F38" s="12" t="n"/>
      <c r="G38" s="22" t="inlineStr">
        <is>
          <t>Looked up for the illustrative address by the internal underwriting agent; the public demo does not run this on an uploaded deal.</t>
        </is>
      </c>
    </row>
    <row r="39">
      <c r="A39" s="24" t="inlineStr">
        <is>
          <t>summary.seller_entity</t>
        </is>
      </c>
      <c r="B39" s="5" t="inlineStr">
        <is>
          <t>Sonoran Residential Holdings LLC</t>
        </is>
      </c>
      <c r="C39" s="5" t="inlineStr">
        <is>
          <t>Illustrative name</t>
        </is>
      </c>
      <c r="D39" s="5" t="inlineStr">
        <is>
          <t>—</t>
        </is>
      </c>
      <c r="E39" s="5" t="inlineStr">
        <is>
          <t>read</t>
        </is>
      </c>
      <c r="F39" s="12" t="n"/>
      <c r="G39" s="22" t="inlineStr">
        <is>
          <t>An illustrative name. The real party is withheld from the public sample.</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supply.projects</t>
        </is>
      </c>
      <c r="B59" s="5" t="inlineStr">
        <is>
          <t>32 entries</t>
        </is>
      </c>
      <c r="C59" s="5" t="inlineStr">
        <is>
          <t>Public permit and entitlement records (the operator's supply pipeline), via the market-report service</t>
        </is>
      </c>
      <c r="D59" s="5" t="inlineStr">
        <is>
          <t>POST /report (format json)</t>
        </is>
      </c>
      <c r="E59" s="5" t="inlineStr">
        <is>
          <t>derived</t>
        </is>
      </c>
      <c r="F59" s="5" t="inlineStr">
        <is>
          <t>supply.rings</t>
        </is>
      </c>
      <c r="G59" s="22" t="inlineStr">
        <is>
          <t>The developments the counts are made of, within 3 mi: one row per development, reconciled across the pipeline's lifecycle layers and shown at the furthest stage any layer carries.</t>
        </is>
      </c>
    </row>
    <row r="60">
      <c r="A60" s="24" t="inlineStr">
        <is>
          <t>supply.rings</t>
        </is>
      </c>
      <c r="B60" s="5" t="inlineStr">
        <is>
          <t>8 entries</t>
        </is>
      </c>
      <c r="C60" s="5" t="inlineStr">
        <is>
          <t>Public permit and entitlement records (the operator's supply pipeline), via the market-report service</t>
        </is>
      </c>
      <c r="D60" s="5" t="inlineStr">
        <is>
          <t>POST /report (format json)</t>
        </is>
      </c>
      <c r="E60" s="5" t="inlineStr">
        <is>
          <t>read</t>
        </is>
      </c>
      <c r="F60" s="12" t="n"/>
      <c r="G60"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