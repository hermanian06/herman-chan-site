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Sample Mesa Apt</t>
        </is>
      </c>
      <c r="D6" s="6" t="inlineStr">
        <is>
          <t>Illustrative name</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Diversified mix of one-, two-, and three-bedroom residences averaging 856 square feet on approximately 15.9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 move-in rent (residents who moved in inside the lookback window, by move-in date) where the plan has one, otherwise in-place (in-place outright when the roll has no usable lease start or move-in date).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0" customWidth="1" min="6" max="6"/>
    <col width="10"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Sample Mesa Apt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By bed count — like for like</t>
        </is>
      </c>
      <c r="B31" s="4" t="n"/>
      <c r="C31" s="4" t="n"/>
      <c r="D31" s="4" t="n"/>
      <c r="E31" s="4" t="n"/>
    </row>
    <row r="32">
      <c r="A32" s="14" t="inlineStr">
        <is>
          <t>Beds</t>
        </is>
      </c>
      <c r="B32" s="14" t="inlineStr">
        <is>
          <t>Communities</t>
        </is>
      </c>
      <c r="C32" s="14" t="inlineStr">
        <is>
          <t>Plans</t>
        </is>
      </c>
      <c r="D32" s="14" t="inlineStr">
        <is>
          <t>Avg asking</t>
        </is>
      </c>
      <c r="E32" s="14" t="inlineStr">
        <is>
          <t>Avg net effective</t>
        </is>
      </c>
    </row>
    <row r="33">
      <c r="A33" s="5" t="inlineStr">
        <is>
          <t>1 bed</t>
        </is>
      </c>
      <c r="B33" s="7" t="n">
        <v>10</v>
      </c>
      <c r="C33" s="7" t="n">
        <v>10</v>
      </c>
      <c r="D33" s="7" t="n">
        <v>1118.3</v>
      </c>
      <c r="E33" s="7" t="n">
        <v>1068.7</v>
      </c>
    </row>
    <row r="34">
      <c r="A34" s="5" t="inlineStr">
        <is>
          <t>2 bed</t>
        </is>
      </c>
      <c r="B34" s="7" t="n">
        <v>6</v>
      </c>
      <c r="C34" s="7" t="n">
        <v>9</v>
      </c>
      <c r="D34" s="7" t="n">
        <v>1373.111111111111</v>
      </c>
      <c r="E34" s="7" t="n">
        <v>1281.222222222222</v>
      </c>
    </row>
    <row r="35"/>
    <row r="36">
      <c r="A36" s="4" t="inlineStr">
        <is>
          <t>Subject versus comp set — detailed tiers only</t>
        </is>
      </c>
      <c r="B36" s="4" t="n"/>
      <c r="C36" s="4" t="n"/>
      <c r="D36" s="4" t="n"/>
    </row>
    <row r="37">
      <c r="A37" s="5" t="inlineStr">
        <is>
          <t>Subject market rent</t>
        </is>
      </c>
      <c r="B37" s="7" t="n">
        <v>1344.6</v>
      </c>
      <c r="C37" s="6" t="inlineStr">
        <is>
          <t>Unit-weighted market rent for model, whole property.</t>
        </is>
      </c>
    </row>
    <row r="38">
      <c r="A38" s="5" t="inlineStr">
        <is>
          <t>Comp-set average asking</t>
        </is>
      </c>
      <c r="B38" s="7">
        <f>IFERROR(AVERAGE(H8:H14,H18:H29),"")</f>
        <v/>
      </c>
      <c r="C38" s="6" t="inlineStr">
        <is>
          <t>Over 10 communities in the detailed tiers (top 5 plus next 15) — never the whole radius.</t>
        </is>
      </c>
    </row>
    <row r="39">
      <c r="A39" s="5" t="inlineStr">
        <is>
          <t>Comp-set average net effective</t>
        </is>
      </c>
      <c r="B39" s="7">
        <f>IFERROR(AVERAGE(J8:J14,J18:J29),"")</f>
        <v/>
      </c>
    </row>
    <row r="40">
      <c r="A40" s="5" t="inlineStr">
        <is>
          <t>Comp set, mix-matched</t>
        </is>
      </c>
      <c r="B40" s="7" t="n">
        <v>1172.943495077356</v>
      </c>
      <c r="C40" s="6" t="inlineStr">
        <is>
          <t>Each bed count's comp net-effective weighted by the subject's own unit mix, so both sides describe the same product.</t>
        </is>
      </c>
    </row>
    <row r="41">
      <c r="A41" s="5" t="inlineStr">
        <is>
          <t>Subject rent, same bed counts</t>
        </is>
      </c>
      <c r="B41" s="7" t="n">
        <v>1314.301989343287</v>
      </c>
      <c r="C41" s="6" t="inlineStr">
        <is>
          <t>Restricted to the bed counts the comp set covers: [1, 2].</t>
        </is>
      </c>
    </row>
    <row r="42">
      <c r="A42" s="5" t="inlineStr">
        <is>
          <t>Mix coverage</t>
        </is>
      </c>
      <c r="B42" s="11" t="n">
        <v>0.9461077844311377</v>
      </c>
      <c r="C42" s="6" t="inlineStr">
        <is>
          <t>Share of the subject's units actually compared, by bed count and priced plan.</t>
        </is>
      </c>
    </row>
    <row r="43">
      <c r="A43" s="5" t="inlineStr">
        <is>
          <t>Subject vs comp set (mix-matched)</t>
        </is>
      </c>
      <c r="B43" s="11">
        <f>IFERROR(B41/B40-1,"")</f>
        <v/>
      </c>
      <c r="C43" s="6" t="inlineStr">
        <is>
          <t>Negative means the subject is underwritten BELOW the market — mark-to-market room rather than a stretch.</t>
        </is>
      </c>
    </row>
    <row r="44"/>
    <row r="45">
      <c r="A45" s="4" t="inlineStr">
        <is>
          <t>Two comp sets, selected identically except for the vintage test</t>
        </is>
      </c>
      <c r="B45" s="4" t="n"/>
      <c r="C45" s="4" t="n"/>
      <c r="D45" s="4" t="n"/>
      <c r="E45" s="4" t="n"/>
    </row>
    <row r="46">
      <c r="A46" s="6" t="inlineStr">
        <is>
          <t>Held fixed in both: candidate pool, product test, tracker comp exclusions, radius, closest-20 cap, per-community rent rules, mix weighting. Varied: the +/-10-year vintage test only.</t>
        </is>
      </c>
    </row>
    <row r="47">
      <c r="A47" s="14" t="inlineStr">
        <is>
          <t>Comp set</t>
        </is>
      </c>
      <c r="B47" s="14" t="inlineStr">
        <is>
          <t>Communities</t>
        </is>
      </c>
      <c r="C47" s="14" t="inlineStr">
        <is>
          <t>Vintages</t>
        </is>
      </c>
      <c r="D47" s="14" t="inlineStr">
        <is>
          <t>Comp net effective</t>
        </is>
      </c>
      <c r="E47" s="14" t="inlineStr">
        <is>
          <t>Subject reads</t>
        </is>
      </c>
    </row>
    <row r="48">
      <c r="A48" s="5" t="inlineStr">
        <is>
          <t>A — vintage test ON</t>
        </is>
      </c>
      <c r="B48" s="7" t="n">
        <v>10</v>
      </c>
      <c r="C48" s="5" t="inlineStr">
        <is>
          <t>1981–1987</t>
        </is>
      </c>
      <c r="D48" s="7" t="n">
        <v>1172.943495077356</v>
      </c>
      <c r="E48" s="11" t="n">
        <v>0.1205160307032596</v>
      </c>
    </row>
    <row r="49">
      <c r="A49" s="5" t="inlineStr">
        <is>
          <t>B — vintage test OFF</t>
        </is>
      </c>
      <c r="B49" s="7" t="n">
        <v>13</v>
      </c>
      <c r="C49" s="5" t="inlineStr">
        <is>
          <t>1981–2018</t>
        </is>
      </c>
      <c r="D49" s="7" t="n">
        <v>1217.446518987342</v>
      </c>
      <c r="E49" s="11" t="n">
        <v>0.07955624238550407</v>
      </c>
    </row>
    <row r="50">
      <c r="A50" s="18" t="inlineStr">
        <is>
          <t>Difference between the two sets</t>
        </is>
      </c>
      <c r="B50" s="19" t="n"/>
      <c r="C50" s="19" t="n"/>
      <c r="D50" s="20" t="n">
        <v>44.50302390998604</v>
      </c>
      <c r="E50" s="21" t="n">
        <v>0.04095978831775549</v>
      </c>
    </row>
    <row r="51"/>
    <row r="52">
      <c r="A52" s="5" t="inlineStr">
        <is>
          <t>In B but not A</t>
        </is>
      </c>
      <c r="B52" s="5" t="inlineStr">
        <is>
          <t>Lindsay Palms Apartments, The Premiere at Dana Park, Vista Grove</t>
        </is>
      </c>
    </row>
    <row r="53">
      <c r="A53" s="5" t="inlineStr">
        <is>
          <t>In A but not B</t>
        </is>
      </c>
      <c r="B53" s="5" t="inlineStr">
        <is>
          <t>—</t>
        </is>
      </c>
    </row>
    <row r="54">
      <c r="A54"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55"/>
    <row r="56">
      <c r="A56" s="4" t="inlineStr">
        <is>
          <t>Stated in the offering memorandum</t>
        </is>
      </c>
      <c r="B56" s="4" t="n"/>
      <c r="C56" s="4" t="n"/>
      <c r="D56" s="4" t="n"/>
      <c r="E56" s="4" t="n"/>
      <c r="F56" s="4" t="n"/>
      <c r="G56" s="4" t="n"/>
      <c r="H56" s="4" t="n"/>
      <c r="I56" s="4" t="n"/>
      <c r="J56" s="4" t="n"/>
    </row>
    <row r="57">
      <c r="A57" s="2" t="inlineStr">
        <is>
          <t>The memorandum's stated comparables are withheld: they would place the real asset.</t>
        </is>
      </c>
    </row>
    <row r="58">
      <c r="A58"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Sample Mesa Apt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Sample Mesa Apt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 width="18" customWidth="1" min="5" max="5"/>
    <col width="22" customWidth="1" min="6" max="6"/>
    <col width="10" customWidth="1" min="7" max="7"/>
    <col width="10" customWidth="1" min="8" max="8"/>
    <col width="32" customWidth="1" min="9" max="9"/>
    <col width="13" customWidth="1" min="10" max="10"/>
    <col width="17" customWidth="1" min="11" max="11"/>
    <col width="41" customWidth="1" min="12" max="12"/>
  </cols>
  <sheetData>
    <row r="1">
      <c r="A1" s="1" t="inlineStr">
        <is>
          <t>Competing supply</t>
        </is>
      </c>
    </row>
    <row r="2">
      <c r="A2" s="2" t="inlineStr">
        <is>
          <t>Sample Mesa Apt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row r="23"/>
    <row r="24">
      <c r="A24" s="4" t="inlineStr">
        <is>
          <t>Projects within 3 miles</t>
        </is>
      </c>
      <c r="B24" s="4" t="n"/>
      <c r="C24" s="4" t="n"/>
      <c r="D24" s="4" t="n"/>
      <c r="E24" s="4" t="n"/>
      <c r="F24" s="4" t="n"/>
    </row>
    <row r="25">
      <c r="A25" s="5" t="inlineStr">
        <is>
          <t>One row per development, at the furthest stage the pipeline shows; a dash means the source did not state it.</t>
        </is>
      </c>
    </row>
    <row r="26">
      <c r="A26" s="14" t="inlineStr">
        <is>
          <t>Project</t>
        </is>
      </c>
      <c r="B26" s="14" t="inlineStr">
        <is>
          <t>Distance (mi)</t>
        </is>
      </c>
      <c r="C26" s="14" t="inlineStr">
        <is>
          <t>Stage</t>
        </is>
      </c>
      <c r="D26" s="14" t="inlineStr">
        <is>
          <t>Units</t>
        </is>
      </c>
      <c r="E26" s="14" t="inlineStr">
        <is>
          <t>Type</t>
        </is>
      </c>
      <c r="F26" s="14" t="inlineStr">
        <is>
          <t>Address</t>
        </is>
      </c>
      <c r="G26" s="14" t="inlineStr">
        <is>
          <t>City</t>
        </is>
      </c>
      <c r="H26" s="14" t="inlineStr">
        <is>
          <t>Acres</t>
        </is>
      </c>
      <c r="I26" s="14" t="inlineStr">
        <is>
          <t>Developer</t>
        </is>
      </c>
      <c r="J26" s="14" t="inlineStr">
        <is>
          <t>First filed</t>
        </is>
      </c>
      <c r="K26" s="14" t="inlineStr">
        <is>
          <t>Latest activity</t>
        </is>
      </c>
      <c r="L26" s="14" t="inlineStr">
        <is>
          <t>Source layers</t>
        </is>
      </c>
    </row>
    <row r="27">
      <c r="A27" s="5" t="inlineStr">
        <is>
          <t>Reed Park Residences</t>
        </is>
      </c>
      <c r="B27" s="10" t="n">
        <v>0.95</v>
      </c>
      <c r="C27" s="5" t="inlineStr">
        <is>
          <t>Entitlement</t>
        </is>
      </c>
      <c r="D27" s="7" t="n">
        <v>72</v>
      </c>
      <c r="E27" s="5" t="inlineStr">
        <is>
          <t>multifamily</t>
        </is>
      </c>
      <c r="F27" s="5" t="inlineStr">
        <is>
          <t>—</t>
        </is>
      </c>
      <c r="G27" s="5" t="inlineStr">
        <is>
          <t>—</t>
        </is>
      </c>
      <c r="H27" s="10" t="n">
        <v>3.22</v>
      </c>
      <c r="I27" s="5" t="inlineStr">
        <is>
          <t>—</t>
        </is>
      </c>
      <c r="J27" s="5" t="inlineStr">
        <is>
          <t>2026-07-03</t>
        </is>
      </c>
      <c r="K27" s="5" t="inlineStr">
        <is>
          <t>2026-07-03</t>
        </is>
      </c>
      <c r="L27" s="5" t="inlineStr">
        <is>
          <t>Entitlement</t>
        </is>
      </c>
    </row>
    <row r="28">
      <c r="A28" s="5" t="inlineStr">
        <is>
          <t>539 S WILLIAMS</t>
        </is>
      </c>
      <c r="B28" s="10" t="n">
        <v>0.97</v>
      </c>
      <c r="C28" s="5" t="inlineStr">
        <is>
          <t>Permitted</t>
        </is>
      </c>
      <c r="D28" s="7" t="n">
        <v>36</v>
      </c>
      <c r="E28" s="5" t="inlineStr">
        <is>
          <t>apartment_rental</t>
        </is>
      </c>
      <c r="F28" s="5" t="inlineStr">
        <is>
          <t>539 S WILLIAMS</t>
        </is>
      </c>
      <c r="G28" s="5" t="inlineStr">
        <is>
          <t>Mesa</t>
        </is>
      </c>
      <c r="H28" s="10" t="n">
        <v>1.03</v>
      </c>
      <c r="I28" s="5" t="inlineStr">
        <is>
          <t>—</t>
        </is>
      </c>
      <c r="J28" s="5" t="inlineStr">
        <is>
          <t>2023-10-30</t>
        </is>
      </c>
      <c r="K28" s="5" t="inlineStr">
        <is>
          <t>2026-08-26</t>
        </is>
      </c>
      <c r="L28" s="5" t="inlineStr">
        <is>
          <t>County permits</t>
        </is>
      </c>
    </row>
    <row r="29">
      <c r="A29" s="5" t="inlineStr">
        <is>
          <t>Flats At Reed Park</t>
        </is>
      </c>
      <c r="B29" s="10" t="n">
        <v>0.98</v>
      </c>
      <c r="C29" s="5" t="inlineStr">
        <is>
          <t>Entitlement</t>
        </is>
      </c>
      <c r="D29" s="5" t="inlineStr">
        <is>
          <t>—</t>
        </is>
      </c>
      <c r="E29" s="5" t="inlineStr">
        <is>
          <t>multifamily</t>
        </is>
      </c>
      <c r="F29" s="5" t="inlineStr">
        <is>
          <t>—</t>
        </is>
      </c>
      <c r="G29" s="5" t="inlineStr">
        <is>
          <t>MESA</t>
        </is>
      </c>
      <c r="H29" s="5" t="inlineStr">
        <is>
          <t>—</t>
        </is>
      </c>
      <c r="I29" s="5" t="inlineStr">
        <is>
          <t>—</t>
        </is>
      </c>
      <c r="J29" s="5" t="inlineStr">
        <is>
          <t>2025-03-06</t>
        </is>
      </c>
      <c r="K29" s="5" t="inlineStr">
        <is>
          <t>—</t>
        </is>
      </c>
      <c r="L29" s="5" t="inlineStr">
        <is>
          <t>NOI radar (Arizona DEQ)</t>
        </is>
      </c>
    </row>
    <row r="30">
      <c r="A30" s="5" t="inlineStr">
        <is>
          <t>2102 E BROADWAY RD</t>
        </is>
      </c>
      <c r="B30" s="10" t="n">
        <v>1.03</v>
      </c>
      <c r="C30" s="5" t="inlineStr">
        <is>
          <t>Permitted</t>
        </is>
      </c>
      <c r="D30" s="5" t="inlineStr">
        <is>
          <t>—</t>
        </is>
      </c>
      <c r="E30" s="5" t="inlineStr">
        <is>
          <t>apartment_rental</t>
        </is>
      </c>
      <c r="F30" s="5" t="inlineStr">
        <is>
          <t>2102 E BROADWAY RD</t>
        </is>
      </c>
      <c r="G30" s="5" t="inlineStr">
        <is>
          <t>Mesa</t>
        </is>
      </c>
      <c r="H30" s="5" t="inlineStr">
        <is>
          <t>—</t>
        </is>
      </c>
      <c r="I30" s="5" t="inlineStr">
        <is>
          <t>—</t>
        </is>
      </c>
      <c r="J30" s="5" t="inlineStr">
        <is>
          <t>2026-03-02</t>
        </is>
      </c>
      <c r="K30" s="5" t="inlineStr">
        <is>
          <t>2026-04-02</t>
        </is>
      </c>
      <c r="L30" s="5" t="inlineStr">
        <is>
          <t>County permits</t>
        </is>
      </c>
    </row>
    <row r="31">
      <c r="A31" s="5" t="inlineStr">
        <is>
          <t>The Groves Apartments</t>
        </is>
      </c>
      <c r="B31" s="10" t="n">
        <v>1.04</v>
      </c>
      <c r="C31" s="5" t="inlineStr">
        <is>
          <t>Permitted</t>
        </is>
      </c>
      <c r="D31" s="7" t="n">
        <v>37</v>
      </c>
      <c r="E31" s="5" t="inlineStr">
        <is>
          <t>apartment_rental</t>
        </is>
      </c>
      <c r="F31" s="5" t="inlineStr">
        <is>
          <t>2030 E BROADWAY RD</t>
        </is>
      </c>
      <c r="G31" s="5" t="inlineStr">
        <is>
          <t>Mesa</t>
        </is>
      </c>
      <c r="H31" s="5" t="inlineStr">
        <is>
          <t>—</t>
        </is>
      </c>
      <c r="I31" s="5" t="inlineStr">
        <is>
          <t>—</t>
        </is>
      </c>
      <c r="J31" s="5" t="inlineStr">
        <is>
          <t>2026-05-05</t>
        </is>
      </c>
      <c r="K31" s="5" t="inlineStr">
        <is>
          <t>2026-05-11</t>
        </is>
      </c>
      <c r="L31" s="5" t="inlineStr">
        <is>
          <t>County permits</t>
        </is>
      </c>
    </row>
    <row r="32">
      <c r="A32" s="5" t="inlineStr">
        <is>
          <t>3 Four 5 Villas</t>
        </is>
      </c>
      <c r="B32" s="10" t="n">
        <v>1.11</v>
      </c>
      <c r="C32" s="5" t="inlineStr">
        <is>
          <t>Entitlement</t>
        </is>
      </c>
      <c r="D32" s="7" t="n">
        <v>15</v>
      </c>
      <c r="E32" s="5" t="inlineStr">
        <is>
          <t>multifamily</t>
        </is>
      </c>
      <c r="F32" s="5" t="inlineStr">
        <is>
          <t>—</t>
        </is>
      </c>
      <c r="G32" s="5" t="inlineStr">
        <is>
          <t>—</t>
        </is>
      </c>
      <c r="H32" s="10" t="n">
        <v>1.07</v>
      </c>
      <c r="I32" s="5" t="inlineStr">
        <is>
          <t>—</t>
        </is>
      </c>
      <c r="J32" s="5" t="inlineStr">
        <is>
          <t>2026-07-03</t>
        </is>
      </c>
      <c r="K32" s="5" t="inlineStr">
        <is>
          <t>2026-07-03</t>
        </is>
      </c>
      <c r="L32" s="5" t="inlineStr">
        <is>
          <t>Entitlement</t>
        </is>
      </c>
    </row>
    <row r="33">
      <c r="A33" s="5" t="inlineStr">
        <is>
          <t>Countryside Manor</t>
        </is>
      </c>
      <c r="B33" s="10" t="n">
        <v>1.29</v>
      </c>
      <c r="C33" s="5" t="inlineStr">
        <is>
          <t>Entitlement</t>
        </is>
      </c>
      <c r="D33" s="7" t="n">
        <v>40</v>
      </c>
      <c r="E33" s="5" t="inlineStr">
        <is>
          <t>multifamily</t>
        </is>
      </c>
      <c r="F33" s="5" t="inlineStr">
        <is>
          <t>—</t>
        </is>
      </c>
      <c r="G33" s="5" t="inlineStr">
        <is>
          <t>—</t>
        </is>
      </c>
      <c r="H33" s="10" t="n">
        <v>2.27</v>
      </c>
      <c r="I33" s="5" t="inlineStr">
        <is>
          <t>—</t>
        </is>
      </c>
      <c r="J33" s="5" t="inlineStr">
        <is>
          <t>2026-07-03</t>
        </is>
      </c>
      <c r="K33" s="5" t="inlineStr">
        <is>
          <t>2026-07-03</t>
        </is>
      </c>
      <c r="L33" s="5" t="inlineStr">
        <is>
          <t>Entitlement</t>
        </is>
      </c>
    </row>
    <row r="34">
      <c r="A34" s="5" t="inlineStr">
        <is>
          <t>La Jolla Villas</t>
        </is>
      </c>
      <c r="B34" s="10" t="n">
        <v>1.59</v>
      </c>
      <c r="C34" s="5" t="inlineStr">
        <is>
          <t>Entitlement</t>
        </is>
      </c>
      <c r="D34" s="7" t="n">
        <v>15</v>
      </c>
      <c r="E34" s="5" t="inlineStr">
        <is>
          <t>multifamily</t>
        </is>
      </c>
      <c r="F34" s="5" t="inlineStr">
        <is>
          <t>—</t>
        </is>
      </c>
      <c r="G34" s="5" t="inlineStr">
        <is>
          <t>—</t>
        </is>
      </c>
      <c r="H34" s="10" t="n">
        <v>1.07</v>
      </c>
      <c r="I34" s="5" t="inlineStr">
        <is>
          <t>—</t>
        </is>
      </c>
      <c r="J34" s="5" t="inlineStr">
        <is>
          <t>2026-07-03</t>
        </is>
      </c>
      <c r="K34" s="5" t="inlineStr">
        <is>
          <t>2026-07-03</t>
        </is>
      </c>
      <c r="L34" s="5" t="inlineStr">
        <is>
          <t>Entitlement</t>
        </is>
      </c>
    </row>
    <row r="35">
      <c r="A35" s="5" t="inlineStr">
        <is>
          <t>1424 E DANA AVE</t>
        </is>
      </c>
      <c r="B35" s="10" t="n">
        <v>1.61</v>
      </c>
      <c r="C35" s="5" t="inlineStr">
        <is>
          <t>Permitted</t>
        </is>
      </c>
      <c r="D35" s="7" t="n">
        <v>4</v>
      </c>
      <c r="E35" s="5" t="inlineStr">
        <is>
          <t>apartment_rental</t>
        </is>
      </c>
      <c r="F35" s="5" t="inlineStr">
        <is>
          <t>1424 E DANA AVE</t>
        </is>
      </c>
      <c r="G35" s="5" t="inlineStr">
        <is>
          <t>Mesa</t>
        </is>
      </c>
      <c r="H35" s="10" t="n">
        <v>0.076</v>
      </c>
      <c r="I35" s="5" t="inlineStr">
        <is>
          <t>—</t>
        </is>
      </c>
      <c r="J35" s="5" t="inlineStr">
        <is>
          <t>2026-02-11</t>
        </is>
      </c>
      <c r="K35" s="5" t="inlineStr">
        <is>
          <t>2026-05-21</t>
        </is>
      </c>
      <c r="L35" s="5" t="inlineStr">
        <is>
          <t>County permits</t>
        </is>
      </c>
    </row>
    <row r="36">
      <c r="A36" s="5" t="inlineStr">
        <is>
          <t>Dana Park Village Square</t>
        </is>
      </c>
      <c r="B36" s="10" t="n">
        <v>1.65</v>
      </c>
      <c r="C36" s="5" t="inlineStr">
        <is>
          <t>Entitlement</t>
        </is>
      </c>
      <c r="D36" s="7" t="n">
        <v>36</v>
      </c>
      <c r="E36" s="5" t="inlineStr">
        <is>
          <t>multifamily</t>
        </is>
      </c>
      <c r="F36" s="5" t="inlineStr">
        <is>
          <t>—</t>
        </is>
      </c>
      <c r="G36" s="5" t="inlineStr">
        <is>
          <t>—</t>
        </is>
      </c>
      <c r="H36" s="10" t="n">
        <v>4.25</v>
      </c>
      <c r="I36" s="5" t="inlineStr">
        <is>
          <t>—</t>
        </is>
      </c>
      <c r="J36" s="5" t="inlineStr">
        <is>
          <t>2026-07-03</t>
        </is>
      </c>
      <c r="K36" s="5" t="inlineStr">
        <is>
          <t>2026-07-03</t>
        </is>
      </c>
      <c r="L36" s="5" t="inlineStr">
        <is>
          <t>Entitlement</t>
        </is>
      </c>
    </row>
    <row r="37">
      <c r="A37" s="5" t="inlineStr">
        <is>
          <t>214 N GILBERT RD 111</t>
        </is>
      </c>
      <c r="B37" s="10" t="n">
        <v>1.79</v>
      </c>
      <c r="C37" s="5" t="inlineStr">
        <is>
          <t>Permitted</t>
        </is>
      </c>
      <c r="D37" s="5" t="inlineStr">
        <is>
          <t>—</t>
        </is>
      </c>
      <c r="E37" s="5" t="inlineStr">
        <is>
          <t>apartment_rental</t>
        </is>
      </c>
      <c r="F37" s="5" t="inlineStr">
        <is>
          <t>214 N GILBERT RD 111</t>
        </is>
      </c>
      <c r="G37" s="5" t="inlineStr">
        <is>
          <t>Mesa</t>
        </is>
      </c>
      <c r="H37" s="5" t="inlineStr">
        <is>
          <t>—</t>
        </is>
      </c>
      <c r="I37" s="5" t="inlineStr">
        <is>
          <t>—</t>
        </is>
      </c>
      <c r="J37" s="5" t="inlineStr">
        <is>
          <t>2023-02-23</t>
        </is>
      </c>
      <c r="K37" s="5" t="inlineStr">
        <is>
          <t>2023-03-01</t>
        </is>
      </c>
      <c r="L37" s="5" t="inlineStr">
        <is>
          <t>County permits</t>
        </is>
      </c>
    </row>
    <row r="38">
      <c r="A38" s="5" t="inlineStr">
        <is>
          <t>Case ID: Z08-017 - 110 S Allen Rd</t>
        </is>
      </c>
      <c r="B38" s="10" t="n">
        <v>1.79</v>
      </c>
      <c r="C38" s="5" t="inlineStr">
        <is>
          <t>Entitlement</t>
        </is>
      </c>
      <c r="D38" s="7" t="n">
        <v>9</v>
      </c>
      <c r="E38" s="5" t="inlineStr">
        <is>
          <t>multifamily</t>
        </is>
      </c>
      <c r="F38" s="5" t="inlineStr">
        <is>
          <t>—</t>
        </is>
      </c>
      <c r="G38" s="5" t="inlineStr">
        <is>
          <t>—</t>
        </is>
      </c>
      <c r="H38" s="10" t="n">
        <v>1.11</v>
      </c>
      <c r="I38" s="5" t="inlineStr">
        <is>
          <t>—</t>
        </is>
      </c>
      <c r="J38" s="5" t="inlineStr">
        <is>
          <t>2026-07-03</t>
        </is>
      </c>
      <c r="K38" s="5" t="inlineStr">
        <is>
          <t>2026-07-03</t>
        </is>
      </c>
      <c r="L38" s="5" t="inlineStr">
        <is>
          <t>Entitlement</t>
        </is>
      </c>
    </row>
    <row r="39">
      <c r="A39" s="5" t="inlineStr">
        <is>
          <t>Tangerine</t>
        </is>
      </c>
      <c r="B39" s="10" t="n">
        <v>2.09</v>
      </c>
      <c r="C39" s="5" t="inlineStr">
        <is>
          <t>Entitlement</t>
        </is>
      </c>
      <c r="D39" s="7" t="n">
        <v>29</v>
      </c>
      <c r="E39" s="5" t="inlineStr">
        <is>
          <t>multifamily</t>
        </is>
      </c>
      <c r="F39" s="5" t="inlineStr">
        <is>
          <t>—</t>
        </is>
      </c>
      <c r="G39" s="5" t="inlineStr">
        <is>
          <t>—</t>
        </is>
      </c>
      <c r="H39" s="10" t="n">
        <v>2.06</v>
      </c>
      <c r="I39" s="5" t="inlineStr">
        <is>
          <t>—</t>
        </is>
      </c>
      <c r="J39" s="5" t="inlineStr">
        <is>
          <t>2026-07-03</t>
        </is>
      </c>
      <c r="K39" s="5" t="inlineStr">
        <is>
          <t>2026-07-03</t>
        </is>
      </c>
      <c r="L39" s="5" t="inlineStr">
        <is>
          <t>Entitlement</t>
        </is>
      </c>
    </row>
    <row r="40">
      <c r="A40" s="5" t="inlineStr">
        <is>
          <t>3020 E MAIN ST</t>
        </is>
      </c>
      <c r="B40" s="10" t="n">
        <v>2.12</v>
      </c>
      <c r="C40" s="5" t="inlineStr">
        <is>
          <t>Permitted</t>
        </is>
      </c>
      <c r="D40" s="5" t="inlineStr">
        <is>
          <t>—</t>
        </is>
      </c>
      <c r="E40" s="5" t="inlineStr">
        <is>
          <t>apartment_rental</t>
        </is>
      </c>
      <c r="F40" s="5" t="inlineStr">
        <is>
          <t>3020 E MAIN ST</t>
        </is>
      </c>
      <c r="G40" s="5" t="inlineStr">
        <is>
          <t>Mesa</t>
        </is>
      </c>
      <c r="H40" s="5" t="inlineStr">
        <is>
          <t>—</t>
        </is>
      </c>
      <c r="I40" s="5" t="inlineStr">
        <is>
          <t>—</t>
        </is>
      </c>
      <c r="J40" s="5" t="inlineStr">
        <is>
          <t>2023-07-27</t>
        </is>
      </c>
      <c r="K40" s="5" t="inlineStr">
        <is>
          <t>2023-08-03</t>
        </is>
      </c>
      <c r="L40" s="5" t="inlineStr">
        <is>
          <t>County permits</t>
        </is>
      </c>
    </row>
    <row r="41">
      <c r="A41" s="5" t="inlineStr">
        <is>
          <t>La Mesa Village Apartments</t>
        </is>
      </c>
      <c r="B41" s="10" t="n">
        <v>2.22</v>
      </c>
      <c r="C41" s="5" t="inlineStr">
        <is>
          <t>Entitlement</t>
        </is>
      </c>
      <c r="D41" s="5" t="inlineStr">
        <is>
          <t>—</t>
        </is>
      </c>
      <c r="E41" s="5" t="inlineStr">
        <is>
          <t>multifamily</t>
        </is>
      </c>
      <c r="F41" s="5" t="inlineStr">
        <is>
          <t>—</t>
        </is>
      </c>
      <c r="G41" s="5" t="inlineStr">
        <is>
          <t>MESA</t>
        </is>
      </c>
      <c r="H41" s="5" t="inlineStr">
        <is>
          <t>—</t>
        </is>
      </c>
      <c r="I41" s="5" t="inlineStr">
        <is>
          <t>—</t>
        </is>
      </c>
      <c r="J41" s="5" t="inlineStr">
        <is>
          <t>2024-10-29</t>
        </is>
      </c>
      <c r="K41" s="5" t="inlineStr">
        <is>
          <t>—</t>
        </is>
      </c>
      <c r="L41" s="5" t="inlineStr">
        <is>
          <t>NOI radar (Arizona DEQ)</t>
        </is>
      </c>
    </row>
    <row r="42">
      <c r="A42" s="5" t="inlineStr">
        <is>
          <t>505 S LESUEUR C</t>
        </is>
      </c>
      <c r="B42" s="10" t="n">
        <v>2.24</v>
      </c>
      <c r="C42" s="5" t="inlineStr">
        <is>
          <t>Permitted</t>
        </is>
      </c>
      <c r="D42" s="5" t="inlineStr">
        <is>
          <t>—</t>
        </is>
      </c>
      <c r="E42" s="5" t="inlineStr">
        <is>
          <t>apartment_rental</t>
        </is>
      </c>
      <c r="F42" s="5" t="inlineStr">
        <is>
          <t>505 S LESUEUR C</t>
        </is>
      </c>
      <c r="G42" s="5" t="inlineStr">
        <is>
          <t>Mesa</t>
        </is>
      </c>
      <c r="H42" s="5" t="inlineStr">
        <is>
          <t>—</t>
        </is>
      </c>
      <c r="I42" s="5" t="inlineStr">
        <is>
          <t>—</t>
        </is>
      </c>
      <c r="J42" s="5" t="inlineStr">
        <is>
          <t>2020-07-01</t>
        </is>
      </c>
      <c r="K42" s="5" t="inlineStr">
        <is>
          <t>2020-07-23</t>
        </is>
      </c>
      <c r="L42" s="5" t="inlineStr">
        <is>
          <t>County permits</t>
        </is>
      </c>
    </row>
    <row r="43">
      <c r="A43" s="5" t="inlineStr">
        <is>
          <t>Pioneer Place</t>
        </is>
      </c>
      <c r="B43" s="10" t="n">
        <v>2.25</v>
      </c>
      <c r="C43" s="5" t="inlineStr">
        <is>
          <t>Entitlement</t>
        </is>
      </c>
      <c r="D43" s="7" t="n">
        <v>9</v>
      </c>
      <c r="E43" s="5" t="inlineStr">
        <is>
          <t>mixed</t>
        </is>
      </c>
      <c r="F43" s="5" t="inlineStr">
        <is>
          <t>—</t>
        </is>
      </c>
      <c r="G43" s="5" t="inlineStr">
        <is>
          <t>—</t>
        </is>
      </c>
      <c r="H43" s="10" t="n">
        <v>0.83</v>
      </c>
      <c r="I43" s="5" t="inlineStr">
        <is>
          <t>—</t>
        </is>
      </c>
      <c r="J43" s="5" t="inlineStr">
        <is>
          <t>2026-07-03</t>
        </is>
      </c>
      <c r="K43" s="5" t="inlineStr">
        <is>
          <t>2026-07-03</t>
        </is>
      </c>
      <c r="L43" s="5" t="inlineStr">
        <is>
          <t>Entitlement</t>
        </is>
      </c>
    </row>
    <row r="44">
      <c r="A44" s="5" t="inlineStr">
        <is>
          <t>PS16-006 A New Leaf Apartment Bldg</t>
        </is>
      </c>
      <c r="B44" s="10" t="n">
        <v>2.33</v>
      </c>
      <c r="C44" s="5" t="inlineStr">
        <is>
          <t>Entitlement</t>
        </is>
      </c>
      <c r="D44" s="7" t="n">
        <v>40</v>
      </c>
      <c r="E44" s="5" t="inlineStr">
        <is>
          <t>multifamily</t>
        </is>
      </c>
      <c r="F44" s="5" t="inlineStr">
        <is>
          <t>—</t>
        </is>
      </c>
      <c r="G44" s="5" t="inlineStr">
        <is>
          <t>—</t>
        </is>
      </c>
      <c r="H44" s="10" t="n">
        <v>1.74</v>
      </c>
      <c r="I44" s="5" t="inlineStr">
        <is>
          <t>—</t>
        </is>
      </c>
      <c r="J44" s="5" t="inlineStr">
        <is>
          <t>2026-07-03</t>
        </is>
      </c>
      <c r="K44" s="5" t="inlineStr">
        <is>
          <t>2026-07-03</t>
        </is>
      </c>
      <c r="L44" s="5" t="inlineStr">
        <is>
          <t>Entitlement</t>
        </is>
      </c>
    </row>
    <row r="45">
      <c r="A45" s="5" t="inlineStr">
        <is>
          <t>3426 E UNIVERSITY DR</t>
        </is>
      </c>
      <c r="B45" s="10" t="n">
        <v>2.55</v>
      </c>
      <c r="C45" s="5" t="inlineStr">
        <is>
          <t>Permitted</t>
        </is>
      </c>
      <c r="D45" s="7" t="n">
        <v>36</v>
      </c>
      <c r="E45" s="5" t="inlineStr">
        <is>
          <t>apartment_rental</t>
        </is>
      </c>
      <c r="F45" s="5" t="inlineStr">
        <is>
          <t>3426 E UNIVERSITY DR</t>
        </is>
      </c>
      <c r="G45" s="5" t="inlineStr">
        <is>
          <t>Mesa</t>
        </is>
      </c>
      <c r="H45" s="5" t="inlineStr">
        <is>
          <t>—</t>
        </is>
      </c>
      <c r="I45" s="5" t="inlineStr">
        <is>
          <t>—</t>
        </is>
      </c>
      <c r="J45" s="5" t="inlineStr">
        <is>
          <t>2021-02-15</t>
        </is>
      </c>
      <c r="K45" s="5" t="inlineStr">
        <is>
          <t>2021-09-27</t>
        </is>
      </c>
      <c r="L45" s="5" t="inlineStr">
        <is>
          <t>County permits</t>
        </is>
      </c>
    </row>
    <row r="46">
      <c r="A46" s="5" t="inlineStr">
        <is>
          <t>455 E MAIN ST</t>
        </is>
      </c>
      <c r="B46" s="10" t="n">
        <v>2.57</v>
      </c>
      <c r="C46" s="5" t="inlineStr">
        <is>
          <t>Permitted</t>
        </is>
      </c>
      <c r="D46" s="5" t="inlineStr">
        <is>
          <t>—</t>
        </is>
      </c>
      <c r="E46" s="5" t="inlineStr">
        <is>
          <t>apartment_rental</t>
        </is>
      </c>
      <c r="F46" s="5" t="inlineStr">
        <is>
          <t>455 E MAIN ST</t>
        </is>
      </c>
      <c r="G46" s="5" t="inlineStr">
        <is>
          <t>Mesa</t>
        </is>
      </c>
      <c r="H46" s="5" t="inlineStr">
        <is>
          <t>—</t>
        </is>
      </c>
      <c r="I46" s="5" t="inlineStr">
        <is>
          <t>—</t>
        </is>
      </c>
      <c r="J46" s="5" t="inlineStr">
        <is>
          <t>2019-03-07</t>
        </is>
      </c>
      <c r="K46" s="5" t="inlineStr">
        <is>
          <t>2020-12-08</t>
        </is>
      </c>
      <c r="L46" s="5" t="inlineStr">
        <is>
          <t>County permits</t>
        </is>
      </c>
    </row>
    <row r="47">
      <c r="A47" s="5" t="inlineStr">
        <is>
          <t>Van Damme Residence</t>
        </is>
      </c>
      <c r="B47" s="10" t="n">
        <v>2.58</v>
      </c>
      <c r="C47" s="5" t="inlineStr">
        <is>
          <t>Entitlement</t>
        </is>
      </c>
      <c r="D47" s="7" t="n">
        <v>2</v>
      </c>
      <c r="E47" s="5" t="inlineStr">
        <is>
          <t>multifamily</t>
        </is>
      </c>
      <c r="F47" s="5" t="inlineStr">
        <is>
          <t>—</t>
        </is>
      </c>
      <c r="G47" s="5" t="inlineStr">
        <is>
          <t>—</t>
        </is>
      </c>
      <c r="H47" s="10" t="n">
        <v>0.16</v>
      </c>
      <c r="I47" s="5" t="inlineStr">
        <is>
          <t>—</t>
        </is>
      </c>
      <c r="J47" s="5" t="inlineStr">
        <is>
          <t>2026-07-03</t>
        </is>
      </c>
      <c r="K47" s="5" t="inlineStr">
        <is>
          <t>2026-07-03</t>
        </is>
      </c>
      <c r="L47" s="5" t="inlineStr">
        <is>
          <t>Entitlement</t>
        </is>
      </c>
    </row>
    <row r="48">
      <c r="A48" s="5" t="inlineStr">
        <is>
          <t>LEGACY SQUARE</t>
        </is>
      </c>
      <c r="B48" s="10" t="n">
        <v>2.6</v>
      </c>
      <c r="C48" s="5" t="inlineStr">
        <is>
          <t>Permitted</t>
        </is>
      </c>
      <c r="D48" s="7" t="n">
        <v>110</v>
      </c>
      <c r="E48" s="5" t="inlineStr">
        <is>
          <t>multifamily</t>
        </is>
      </c>
      <c r="F48" s="5" t="inlineStr">
        <is>
          <t>140 S POMEROY</t>
        </is>
      </c>
      <c r="G48" s="5" t="inlineStr">
        <is>
          <t>MESA</t>
        </is>
      </c>
      <c r="H48" s="5" t="inlineStr">
        <is>
          <t>—</t>
        </is>
      </c>
      <c r="I48" s="5" t="inlineStr">
        <is>
          <t>Willow Bridge Property Company</t>
        </is>
      </c>
      <c r="J48" s="5" t="inlineStr">
        <is>
          <t>2025-02-06</t>
        </is>
      </c>
      <c r="K48" s="5" t="inlineStr">
        <is>
          <t>2025-07-03</t>
        </is>
      </c>
      <c r="L48" s="5" t="inlineStr">
        <is>
          <t>County permits, NOI radar (Arizona DEQ)</t>
        </is>
      </c>
    </row>
    <row r="49">
      <c r="A49" s="5" t="inlineStr">
        <is>
          <t>Cadillac Aparments</t>
        </is>
      </c>
      <c r="B49" s="10" t="n">
        <v>2.64</v>
      </c>
      <c r="C49" s="5" t="inlineStr">
        <is>
          <t>Entitlement</t>
        </is>
      </c>
      <c r="D49" s="7" t="n">
        <v>7</v>
      </c>
      <c r="E49" s="5" t="inlineStr">
        <is>
          <t>multifamily</t>
        </is>
      </c>
      <c r="F49" s="5" t="inlineStr">
        <is>
          <t>—</t>
        </is>
      </c>
      <c r="G49" s="5" t="inlineStr">
        <is>
          <t>—</t>
        </is>
      </c>
      <c r="H49" s="10" t="n">
        <v>0.85</v>
      </c>
      <c r="I49" s="5" t="inlineStr">
        <is>
          <t>—</t>
        </is>
      </c>
      <c r="J49" s="5" t="inlineStr">
        <is>
          <t>2026-07-03</t>
        </is>
      </c>
      <c r="K49" s="5" t="inlineStr">
        <is>
          <t>2026-07-03</t>
        </is>
      </c>
      <c r="L49" s="5" t="inlineStr">
        <is>
          <t>Entitlement</t>
        </is>
      </c>
    </row>
    <row r="50">
      <c r="A50" s="5" t="inlineStr">
        <is>
          <t>Clare House Social</t>
        </is>
      </c>
      <c r="B50" s="10" t="n">
        <v>2.65</v>
      </c>
      <c r="C50" s="5" t="inlineStr">
        <is>
          <t>Entitlement</t>
        </is>
      </c>
      <c r="D50" s="5" t="inlineStr">
        <is>
          <t>—</t>
        </is>
      </c>
      <c r="E50" s="5" t="inlineStr">
        <is>
          <t>mixed</t>
        </is>
      </c>
      <c r="F50" s="5" t="inlineStr">
        <is>
          <t>—</t>
        </is>
      </c>
      <c r="G50" s="5" t="inlineStr">
        <is>
          <t>—</t>
        </is>
      </c>
      <c r="H50" s="5" t="inlineStr">
        <is>
          <t>—</t>
        </is>
      </c>
      <c r="I50" s="5" t="inlineStr">
        <is>
          <t>—</t>
        </is>
      </c>
      <c r="J50" s="5" t="inlineStr">
        <is>
          <t>2026-07-03</t>
        </is>
      </c>
      <c r="K50" s="5" t="inlineStr">
        <is>
          <t>2026-07-03</t>
        </is>
      </c>
      <c r="L50" s="5" t="inlineStr">
        <is>
          <t>Entitlement</t>
        </is>
      </c>
    </row>
    <row r="51">
      <c r="A51" s="5" t="inlineStr">
        <is>
          <t>The Lumberyard</t>
        </is>
      </c>
      <c r="B51" s="10" t="n">
        <v>2.71</v>
      </c>
      <c r="C51" s="5" t="inlineStr">
        <is>
          <t>Entitlement</t>
        </is>
      </c>
      <c r="D51" s="5" t="inlineStr">
        <is>
          <t>—</t>
        </is>
      </c>
      <c r="E51" s="5" t="inlineStr">
        <is>
          <t>multifamily</t>
        </is>
      </c>
      <c r="F51" s="5" t="inlineStr">
        <is>
          <t>—</t>
        </is>
      </c>
      <c r="G51" s="5" t="inlineStr">
        <is>
          <t>—</t>
        </is>
      </c>
      <c r="H51" s="5" t="inlineStr">
        <is>
          <t>—</t>
        </is>
      </c>
      <c r="I51" s="5" t="inlineStr">
        <is>
          <t>—</t>
        </is>
      </c>
      <c r="J51" s="5" t="inlineStr">
        <is>
          <t>2025-05-15</t>
        </is>
      </c>
      <c r="K51" s="5" t="inlineStr">
        <is>
          <t>2025-05-15</t>
        </is>
      </c>
      <c r="L51" s="5" t="inlineStr">
        <is>
          <t>Entitlement</t>
        </is>
      </c>
    </row>
    <row r="52">
      <c r="A52" s="5" t="inlineStr">
        <is>
          <t>The Brundrett Building</t>
        </is>
      </c>
      <c r="B52" s="10" t="n">
        <v>2.72</v>
      </c>
      <c r="C52" s="5" t="inlineStr">
        <is>
          <t>Entitlement</t>
        </is>
      </c>
      <c r="D52" s="5" t="inlineStr">
        <is>
          <t>—</t>
        </is>
      </c>
      <c r="E52" s="5" t="inlineStr">
        <is>
          <t>mixed</t>
        </is>
      </c>
      <c r="F52" s="5" t="inlineStr">
        <is>
          <t>—</t>
        </is>
      </c>
      <c r="G52" s="5" t="inlineStr">
        <is>
          <t>—</t>
        </is>
      </c>
      <c r="H52" s="5" t="inlineStr">
        <is>
          <t>—</t>
        </is>
      </c>
      <c r="I52" s="5" t="inlineStr">
        <is>
          <t>—</t>
        </is>
      </c>
      <c r="J52" s="5" t="inlineStr">
        <is>
          <t>2025-05-15</t>
        </is>
      </c>
      <c r="K52" s="5" t="inlineStr">
        <is>
          <t>2026-07-03</t>
        </is>
      </c>
      <c r="L52" s="5" t="inlineStr">
        <is>
          <t>Entitlement</t>
        </is>
      </c>
    </row>
    <row r="53">
      <c r="A53" s="5" t="inlineStr">
        <is>
          <t>233 E MAIN ST</t>
        </is>
      </c>
      <c r="B53" s="10" t="n">
        <v>2.76</v>
      </c>
      <c r="C53" s="5" t="inlineStr">
        <is>
          <t>Permitted</t>
        </is>
      </c>
      <c r="D53" s="5" t="inlineStr">
        <is>
          <t>—</t>
        </is>
      </c>
      <c r="E53" s="5" t="inlineStr">
        <is>
          <t>apartment_rental</t>
        </is>
      </c>
      <c r="F53" s="5" t="inlineStr">
        <is>
          <t>233 E MAIN ST</t>
        </is>
      </c>
      <c r="G53" s="5" t="inlineStr">
        <is>
          <t>Mesa</t>
        </is>
      </c>
      <c r="H53" s="5" t="inlineStr">
        <is>
          <t>—</t>
        </is>
      </c>
      <c r="I53" s="5" t="inlineStr">
        <is>
          <t>—</t>
        </is>
      </c>
      <c r="J53" s="5" t="inlineStr">
        <is>
          <t>2020-01-27</t>
        </is>
      </c>
      <c r="K53" s="5" t="inlineStr">
        <is>
          <t>2022-02-16</t>
        </is>
      </c>
      <c r="L53" s="5" t="inlineStr">
        <is>
          <t>County permits</t>
        </is>
      </c>
    </row>
    <row r="54">
      <c r="A54" s="5" t="inlineStr">
        <is>
          <t>NEC Neely St and Aviary Way</t>
        </is>
      </c>
      <c r="B54" s="10" t="n">
        <v>2.79</v>
      </c>
      <c r="C54" s="5" t="inlineStr">
        <is>
          <t>Entitlement</t>
        </is>
      </c>
      <c r="D54" s="7" t="n">
        <v>99</v>
      </c>
      <c r="E54" s="5" t="inlineStr">
        <is>
          <t>multifamily</t>
        </is>
      </c>
      <c r="F54" s="5" t="inlineStr">
        <is>
          <t>—</t>
        </is>
      </c>
      <c r="G54" s="5" t="inlineStr">
        <is>
          <t>—</t>
        </is>
      </c>
      <c r="H54" s="10" t="n">
        <v>11.75</v>
      </c>
      <c r="I54" s="5" t="inlineStr">
        <is>
          <t>—</t>
        </is>
      </c>
      <c r="J54" s="5" t="inlineStr">
        <is>
          <t>2026-07-03</t>
        </is>
      </c>
      <c r="K54" s="5" t="inlineStr">
        <is>
          <t>2026-07-03</t>
        </is>
      </c>
      <c r="L54" s="5" t="inlineStr">
        <is>
          <t>Entitlement</t>
        </is>
      </c>
    </row>
    <row r="55">
      <c r="A55" s="5" t="inlineStr">
        <is>
          <t>Mesa Main Street Apartments</t>
        </is>
      </c>
      <c r="B55" s="10" t="n">
        <v>2.81</v>
      </c>
      <c r="C55" s="5" t="inlineStr">
        <is>
          <t>Entitlement</t>
        </is>
      </c>
      <c r="D55" s="7" t="n">
        <v>36</v>
      </c>
      <c r="E55" s="5" t="inlineStr">
        <is>
          <t>multifamily</t>
        </is>
      </c>
      <c r="F55" s="5" t="inlineStr">
        <is>
          <t>—</t>
        </is>
      </c>
      <c r="G55" s="5" t="inlineStr">
        <is>
          <t>—</t>
        </is>
      </c>
      <c r="H55" s="10" t="n">
        <v>4.33</v>
      </c>
      <c r="I55" s="5" t="inlineStr">
        <is>
          <t>—</t>
        </is>
      </c>
      <c r="J55" s="5" t="inlineStr">
        <is>
          <t>2026-07-03</t>
        </is>
      </c>
      <c r="K55" s="5" t="inlineStr">
        <is>
          <t>2026-07-03</t>
        </is>
      </c>
      <c r="L55" s="5" t="inlineStr">
        <is>
          <t>Entitlement</t>
        </is>
      </c>
    </row>
    <row r="56">
      <c r="A56" s="5" t="inlineStr">
        <is>
          <t>145 E MAIN ST 1</t>
        </is>
      </c>
      <c r="B56" s="10" t="n">
        <v>2.89</v>
      </c>
      <c r="C56" s="5" t="inlineStr">
        <is>
          <t>Permitted</t>
        </is>
      </c>
      <c r="D56" s="7" t="n">
        <v>335</v>
      </c>
      <c r="E56" s="5" t="inlineStr">
        <is>
          <t>apartment_rental</t>
        </is>
      </c>
      <c r="F56" s="5" t="inlineStr">
        <is>
          <t>145 E MAIN ST 1</t>
        </is>
      </c>
      <c r="G56" s="5" t="inlineStr">
        <is>
          <t>Mesa</t>
        </is>
      </c>
      <c r="H56" s="5" t="inlineStr">
        <is>
          <t>—</t>
        </is>
      </c>
      <c r="I56" s="5" t="inlineStr">
        <is>
          <t>—</t>
        </is>
      </c>
      <c r="J56" s="5" t="inlineStr">
        <is>
          <t>2021-04-01</t>
        </is>
      </c>
      <c r="K56" s="5" t="inlineStr">
        <is>
          <t>2021-12-06</t>
        </is>
      </c>
      <c r="L56" s="5" t="inlineStr">
        <is>
          <t>County permits</t>
        </is>
      </c>
    </row>
    <row r="57">
      <c r="A57" s="5" t="inlineStr">
        <is>
          <t>Fiesta Rose Garden</t>
        </is>
      </c>
      <c r="B57" s="10" t="n">
        <v>2.93</v>
      </c>
      <c r="C57" s="5" t="inlineStr">
        <is>
          <t>Entitlement</t>
        </is>
      </c>
      <c r="D57" s="7" t="n">
        <v>12</v>
      </c>
      <c r="E57" s="5" t="inlineStr">
        <is>
          <t>multifamily</t>
        </is>
      </c>
      <c r="F57" s="5" t="inlineStr">
        <is>
          <t>—</t>
        </is>
      </c>
      <c r="G57" s="5" t="inlineStr">
        <is>
          <t>—</t>
        </is>
      </c>
      <c r="H57" s="10" t="n">
        <v>1.03</v>
      </c>
      <c r="I57" s="5" t="inlineStr">
        <is>
          <t>—</t>
        </is>
      </c>
      <c r="J57" s="5" t="inlineStr">
        <is>
          <t>2026-07-03</t>
        </is>
      </c>
      <c r="K57" s="5" t="inlineStr">
        <is>
          <t>2026-07-03</t>
        </is>
      </c>
      <c r="L57" s="5" t="inlineStr">
        <is>
          <t>Entitlement</t>
        </is>
      </c>
    </row>
    <row r="58">
      <c r="A58" s="5" t="inlineStr">
        <is>
          <t>NWC Gilbert Rd and Elliot Rd</t>
        </is>
      </c>
      <c r="B58" s="10" t="n">
        <v>2.99</v>
      </c>
      <c r="C58" s="5" t="inlineStr">
        <is>
          <t>Entitlement</t>
        </is>
      </c>
      <c r="D58" s="7" t="n">
        <v>200</v>
      </c>
      <c r="E58" s="5" t="inlineStr">
        <is>
          <t>mixed</t>
        </is>
      </c>
      <c r="F58" s="5" t="inlineStr">
        <is>
          <t>—</t>
        </is>
      </c>
      <c r="G58" s="5" t="inlineStr">
        <is>
          <t>—</t>
        </is>
      </c>
      <c r="H58" s="10" t="n">
        <v>2.19</v>
      </c>
      <c r="I58" s="5" t="inlineStr">
        <is>
          <t>—</t>
        </is>
      </c>
      <c r="J58" s="5" t="inlineStr">
        <is>
          <t>2026-07-03</t>
        </is>
      </c>
      <c r="K58" s="5" t="inlineStr">
        <is>
          <t>2026-07-03</t>
        </is>
      </c>
      <c r="L58" s="5" t="inlineStr">
        <is>
          <t>Entitlement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Sample Mesa Apt — as of 2026-08-31</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2"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2"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22"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candidates without letting a distant one outrank a close one. A community the scrape tracks but could not quote is not dropped: it is carried, with the reason it is not a comp, in the downloadable interchange file.</t>
        </is>
      </c>
    </row>
    <row r="9">
      <c r="A9" s="5" t="inlineStr">
        <is>
          <t>Comps are matched on vintage</t>
        </is>
      </c>
      <c r="B9" s="5" t="inlineStr">
        <is>
          <t>Rent Comps — tiers</t>
        </is>
      </c>
      <c r="C9" s="22"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2"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2" t="inlineStr">
        <is>
          <t>Market rent for the model is the new move-in rent — residents whose move-in date falls inside the lookback window, whatever their lease type — where a plan has one, and in-place rent where it does not. It is never the average of every lease signed, new and renewal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2"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22"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22"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2"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2" t="inlineStr">
        <is>
          <t>This subject was built 1981. Two comp sets were selected by identical criteria — same candidate pool, same product test, same tracker exclusions, same radius, same closest-20 cap, same rent rules, same mix weighting — differing only in whether the +/-10-year vintage test was applied. Set A, vintage test ON: 10 communities, vintages 1981 to 1987; this subject's rent reads 12.1% above it. Set B, vintage test OFF: 3 more communities join and none drops out — fewer than 20 qualify either way, so the cap never binds (vintages 1981 to 2018); the same rent reads 8.0% above it. Both figures are weighted by this property's own unit mix and computed over the same bed counts (95% of its units), so the two sets differ by 4.1 points. Every community that joins was built after 1987, set A's newest, so set B reaches newer product than the vintage test allowed. Both sets are listed on the Rent Comps section — this is a measurement of these two sets on this date, not an estimate of what vintage is worth in this market.</t>
        </is>
      </c>
    </row>
    <row r="17">
      <c r="A17" s="5" t="inlineStr">
        <is>
          <t>Market rent is BELOW in-place on this deal</t>
        </is>
      </c>
      <c r="B17" s="5" t="inlineStr">
        <is>
          <t>Rent Roll — Summary</t>
        </is>
      </c>
      <c r="C17" s="22" t="inlineStr">
        <is>
          <t>Unit-weighted in-place rent is $1,457 and market rent for the model is $1,345 — -7.7%. That is not an error. New leases are signing below what residents in place are paying, so the no-blend rule surfaces a downward mark the model has to carry. A blended new-and-renewal average would have hidden it.</t>
        </is>
      </c>
    </row>
    <row r="18">
      <c r="A18" s="5" t="inlineStr">
        <is>
          <t>This sample sits at an illustrative address</t>
        </is>
      </c>
      <c r="B18" s="5" t="inlineStr">
        <is>
          <t>throughout</t>
        </is>
      </c>
      <c r="C18" s="22"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19">
      <c r="A19" s="5" t="inlineStr">
        <is>
          <t>About the market pull</t>
        </is>
      </c>
      <c r="B19" s="5" t="inlineStr">
        <is>
          <t>Rent Comps / Demand / Supply</t>
        </is>
      </c>
      <c r="C19" s="22" t="inlineStr">
        <is>
          <t>Demand: the ZIP-versus-metro home value rows are Zillow ZHVI from a vendored table that carries no as-of date — the same static table the operator's 1-pager reads. Directional, not current.</t>
        </is>
      </c>
    </row>
    <row r="20">
      <c r="A20" s="5" t="inlineStr">
        <is>
          <t>About the market pull</t>
        </is>
      </c>
      <c r="B20" s="5" t="inlineStr">
        <is>
          <t>Rent Comps / Demand / Supply</t>
        </is>
      </c>
      <c r="C20" s="22" t="inlineStr">
        <is>
          <t>Supply stages: the permit pipeline tracks pre-permit signals (entitlement leads, site plans, stormwater notices — shown as Entitlement) and issued permits (Permitted). Construction status and deliveries are not tracked, so those stages are not asserted.</t>
        </is>
      </c>
    </row>
    <row r="21">
      <c r="A21" s="5" t="inlineStr">
        <is>
          <t>About the market pull</t>
        </is>
      </c>
      <c r="B21" s="5" t="inlineStr">
        <is>
          <t>Rent Comps / Demand / Supply</t>
        </is>
      </c>
      <c r="C21" s="22" t="inlineStr">
        <is>
          <t>Supply: cut to multifamily projects for an MF subject; build-for-rent projects are not counted.</t>
        </is>
      </c>
    </row>
    <row r="22">
      <c r="A22" s="5" t="inlineStr">
        <is>
          <t>About the market pull</t>
        </is>
      </c>
      <c r="B22" s="5" t="inlineStr">
        <is>
          <t>Rent Comps / Demand / Supply</t>
        </is>
      </c>
      <c r="C22" s="22" t="inlineStr">
        <is>
          <t>Supply: the 32 development(s) within 3 mi are listed by name, one row each, at the furthest stage the pipeline shows; beyond that radius the rings are counts only.</t>
        </is>
      </c>
    </row>
    <row r="23">
      <c r="A23" s="5" t="inlineStr">
        <is>
          <t>About the market pull</t>
        </is>
      </c>
      <c r="B23" s="5" t="inlineStr">
        <is>
          <t>Rent Comps / Demand / Supply</t>
        </is>
      </c>
      <c r="C23" s="22" t="inlineStr">
        <is>
          <t>Supply: 214 row(s) were the same development on more than one lifecycle layer and were counted once, at the furthest stage the pipeline shows.</t>
        </is>
      </c>
    </row>
    <row r="24">
      <c r="A24" s="5" t="inlineStr">
        <is>
          <t>About the market pull</t>
        </is>
      </c>
      <c r="B24" s="5" t="inlineStr">
        <is>
          <t>Rent Comps / Demand / Supply</t>
        </is>
      </c>
      <c r="C24" s="22" t="inlineStr">
        <is>
          <t>Supply: 145 project(s) without a unit count are counted as projects and add zero units — the unit figure is a floor, not a total.</t>
        </is>
      </c>
    </row>
    <row r="25">
      <c r="A25" s="5" t="inlineStr">
        <is>
          <t>About the market pull</t>
        </is>
      </c>
      <c r="B25" s="5" t="inlineStr">
        <is>
          <t>Rent Comps / Demand / Supply</t>
        </is>
      </c>
      <c r="C25" s="22" t="inlineStr">
        <is>
          <t>Supply pipeline: Supply: layers are lifecycle views of the SAME market — a project can appear as an NOI and later as a permit; never sum a tab's rows across layers.</t>
        </is>
      </c>
    </row>
    <row r="26">
      <c r="A26" s="5" t="inlineStr">
        <is>
          <t>About the market pull</t>
        </is>
      </c>
      <c r="B26" s="5" t="inlineStr">
        <is>
          <t>Rent Comps / Demand / Supply</t>
        </is>
      </c>
      <c r="C26" s="22" t="inlineStr">
        <is>
          <t>Supply pipeline: Supply: county/SFD 'Units' are measured where the permit carries them; NOI and entitlement 'Units' are acreage-derived ESTIMATES (capped 300) — treat as indicative.</t>
        </is>
      </c>
    </row>
    <row r="27">
      <c r="A27" s="5" t="inlineStr">
        <is>
          <t>About the market pull</t>
        </is>
      </c>
      <c r="B27" s="5" t="inlineStr">
        <is>
          <t>Rent Comps / Demand / Supply</t>
        </is>
      </c>
      <c r="C27" s="22" t="inlineStr">
        <is>
          <t>Supply pipeline: Supply: 'Lead — entitlement' rows are pre-permit LEADS (~40-65% eventually build), not committed supply; their Status shows the de-risk funnel (prospect / NOI nearby / permit nearby).</t>
        </is>
      </c>
    </row>
    <row r="28">
      <c r="A28" s="5" t="inlineStr">
        <is>
          <t>About the market pull</t>
        </is>
      </c>
      <c r="B28" s="5" t="inlineStr">
        <is>
          <t>Rent Comps / Demand / Supply</t>
        </is>
      </c>
      <c r="C28" s="22" t="inlineStr">
        <is>
          <t>Supply pipeline: Supply BFR: the detached SFD-tract layer exists for Charlotte / Las Vegas / Nashville / Tampa today; elsewhere detached product shows via NOI radar + entitlement tiers. Phoenix has no attached-BFR NOI arm.</t>
        </is>
      </c>
    </row>
    <row r="29">
      <c r="A29" s="5" t="inlineStr">
        <is>
          <t>About the market pull</t>
        </is>
      </c>
      <c r="B29" s="5" t="inlineStr">
        <is>
          <t>Rent Comps / Demand / Supply</t>
        </is>
      </c>
      <c r="C29" s="22" t="inlineStr">
        <is>
          <t>Rent comps: 344 of 351 communities in the radius carry a year built (parsed from the tracker's vendor note); those are vintage-tested against the subject, the rest are matched on distance and product only and say so.</t>
        </is>
      </c>
    </row>
    <row r="30">
      <c r="A30" s="5" t="inlineStr">
        <is>
          <t>About the market pull</t>
        </is>
      </c>
      <c r="B30" s="5" t="inlineStr">
        <is>
          <t>Rent Comps / Demand / Supply</t>
        </is>
      </c>
      <c r="C30" s="22" t="inlineStr">
        <is>
          <t>Rent comps: the in-radius population (351 communities) was read from the service's audit rows with the registry's product, exclusion flag and year built; the 331 beyond its 20 preselected are tiered on those but carry no quoted rent, so they are carried in the interchange file without one.</t>
        </is>
      </c>
    </row>
    <row r="31">
      <c r="A31" s="5" t="inlineStr">
        <is>
          <t>About the market pull</t>
        </is>
      </c>
      <c r="B31" s="5" t="inlineStr">
        <is>
          <t>Rent Comps / Demand / Supply</t>
        </is>
      </c>
      <c r="C31" s="22" t="inlineStr">
        <is>
          <t>Rent comps: the service did not provide the lowest-five rent measure; rows marked 'group floor' quote the single lowest listing, which reads BELOW the lowest-five average.</t>
        </is>
      </c>
    </row>
    <row r="32">
      <c r="A32" s="5" t="inlineStr">
        <is>
          <t>About the market pull</t>
        </is>
      </c>
      <c r="B32" s="5" t="inlineStr">
        <is>
          <t>Rent Comps / Demand / Supply</t>
        </is>
      </c>
      <c r="C32" s="22" t="inlineStr">
        <is>
          <t>Rent comps: 1 community name(s) would fail the publishing check and are withheld; their rows stay, by distance and units.</t>
        </is>
      </c>
    </row>
    <row r="33">
      <c r="A33" s="5" t="inlineStr">
        <is>
          <t>About the market pull</t>
        </is>
      </c>
      <c r="B33" s="5" t="inlineStr">
        <is>
          <t>Rent Comps / Demand / Supply</t>
        </is>
      </c>
      <c r="C33" s="22" t="inlineStr">
        <is>
          <t>Rent comps: 13 unit group(s) the tracker flagged for review were not quoted.</t>
        </is>
      </c>
    </row>
    <row r="34">
      <c r="A34" s="5" t="inlineStr">
        <is>
          <t>About the market pull</t>
        </is>
      </c>
      <c r="B34" s="5" t="inlineStr">
        <is>
          <t>Rent Comps / Demand / Supply</t>
        </is>
      </c>
      <c r="C34" s="22" t="inlineStr">
        <is>
          <t>1 tracked community within the radius withheld from the comp set: the real asset this sample derives from.</t>
        </is>
      </c>
    </row>
    <row r="35">
      <c r="A35" s="5" t="inlineStr">
        <is>
          <t>About this run</t>
        </is>
      </c>
      <c r="B35" s="5" t="inlineStr">
        <is>
          <t>Notes &amp; Disclosures</t>
        </is>
      </c>
      <c r="C35" s="22" t="inlineStr">
        <is>
          <t>40 row(s) below the header were SKIPPED rather than counted as units: 29 read as a trailer (a totals or summary line, or a row carrying nothing that describes one unit); 11 carrying no unit identifier. Check that number against your own roll — a real unit dropped by that test would be in it.</t>
        </is>
      </c>
    </row>
    <row r="36">
      <c r="A36" s="5" t="inlineStr">
        <is>
          <t>About this run</t>
        </is>
      </c>
      <c r="B36" s="5" t="inlineStr">
        <is>
          <t>Notes &amp; Disclosures</t>
        </is>
      </c>
      <c r="C36" s="22" t="inlineStr">
        <is>
          <t>6 unit(s) appeared twice in the export (1060, 1077, 1104, 1146, 2021, 2107); kept the lease in place on the as-of date and dropped the incoming lease.</t>
        </is>
      </c>
    </row>
    <row r="37">
      <c r="A37" s="5" t="inlineStr">
        <is>
          <t>About this run</t>
        </is>
      </c>
      <c r="B37" s="5" t="inlineStr">
        <is>
          <t>Notes &amp; Disclosures</t>
        </is>
      </c>
      <c r="C37" s="22" t="inlineStr">
        <is>
          <t>40 account line(s) below the statement's NET OPERATING INCOME row were left out of operating results (capital, reserves or other non-operating items, by the statement's own layout).</t>
        </is>
      </c>
    </row>
    <row r="38">
      <c r="A38" s="5" t="inlineStr">
        <is>
          <t>About this run</t>
        </is>
      </c>
      <c r="B38" s="5" t="inlineStr">
        <is>
          <t>Notes &amp; Disclosures</t>
        </is>
      </c>
      <c r="C38" s="22" t="inlineStr">
        <is>
          <t>Ties to the statement's own printed subtotals: revenue, operating expenses, NOI.</t>
        </is>
      </c>
    </row>
    <row r="39">
      <c r="A39" s="5" t="inlineStr">
        <is>
          <t>About this run</t>
        </is>
      </c>
      <c r="B39" s="5" t="inlineStr">
        <is>
          <t>Notes &amp; Disclosures</t>
        </is>
      </c>
      <c r="C39" s="22" t="inlineStr">
        <is>
          <t>The market report (demand, supply, comps) did not run: the market-report service is not configured on this deployment (MARKET_REPORT_URL / MARKET_REPORT_TOKEN unset).</t>
        </is>
      </c>
    </row>
    <row r="40">
      <c r="A40" s="5" t="inlineStr">
        <is>
          <t>About this run</t>
        </is>
      </c>
      <c r="B40" s="5" t="inlineStr">
        <is>
          <t>Notes &amp; Disclosures</t>
        </is>
      </c>
      <c r="C40" s="22" t="inlineStr">
        <is>
          <t>OM comparables: 3 stated comparable(s) the model read were withheld because a figure or quote could not be verified against the memorandum's own words.</t>
        </is>
      </c>
    </row>
    <row r="41">
      <c r="A41" s="5" t="inlineStr">
        <is>
          <t>About this run</t>
        </is>
      </c>
      <c r="B41" s="5" t="inlineStr">
        <is>
          <t>Notes &amp; Disclosures</t>
        </is>
      </c>
      <c r="C41" s="22" t="inlineStr">
        <is>
          <t>Beneath the scraped set, the comparables the offering memorandum itself states are listed under their own heading. They are the seller's figures — each one verified against the memorandum's own text (rent rows show their quote) — not market data, and they are never mixed into the scraped tiers.</t>
        </is>
      </c>
    </row>
    <row r="42">
      <c r="A42" s="5" t="inlineStr">
        <is>
          <t>About this run</t>
        </is>
      </c>
      <c r="B42" s="5" t="inlineStr">
        <is>
          <t>Notes &amp; Disclosures</t>
        </is>
      </c>
      <c r="C42" s="22"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tax area code, the assessor's value, the exemption read MISSING; the parcel, the billed amount, the bill's tax year come from the uploaded offering memorandum, unverified against a portal. The statement's own Property Taxes line is shown as billed in the statement where a statement was uploaded.</t>
        </is>
      </c>
    </row>
    <row r="43">
      <c r="A43" s="5" t="inlineStr">
        <is>
          <t>About this run</t>
        </is>
      </c>
      <c r="B43" s="5" t="inlineStr">
        <is>
          <t>Notes &amp; Disclosures</t>
        </is>
      </c>
      <c r="C43" s="22" t="inlineStr">
        <is>
          <t>The uploaded rent roll stated the PERIOD it covers rather than a day: as-of taken as 2026-08-31, the last day of the stated period 202608. Every window on this page (the move-in and lease-signed lookback, and annualised turnover) is measured back from that date, not from the day of the upload.</t>
        </is>
      </c>
    </row>
    <row r="44">
      <c r="A44" s="5" t="inlineStr">
        <is>
          <t>About this run</t>
        </is>
      </c>
      <c r="B44" s="5" t="inlineStr">
        <is>
          <t>Notes &amp; Disclosures</t>
        </is>
      </c>
      <c r="C44" s="22" t="inlineStr">
        <is>
          <t>This output set was generated from documents uploaded to a public demo. It read an offering memorandum, a trailing-twelve statement, a rent roll. 20 summary field(s) were read from the marketing document by a language model and each one is carried with the sentence it came from; any value whose sentence could not be found in the document was discarded rather than shown. Every figure on the T-12 and rent-roll tabs are computed by code from the uploaded spreadsheets, not read by a model. Each T-12 line's category was assigned from the wording of its account label, not from an account-code table, because account codes mean different things in different systems. The category chosen for every line is shown beside it on the T-12 Data tab so you can check it; lines that could not be placed confidently are excluded rather than guessed at, and are listed above. Comparable rents, demographics, competing supply and closing costs were not run: they need data sources this demo does not reach. The uploaded files were deleted as soon as they were parsed, and this output set is deleted with the rest of the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0"/>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Sample Mesa Apt — as of 2026-08-31</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3" t="n">
        <v>52</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4" t="inlineStr">
        <is>
          <t>closing_costs.mortgage_tax.amount</t>
        </is>
      </c>
      <c r="B9" s="5" t="inlineStr">
        <is>
          <t>0</t>
        </is>
      </c>
      <c r="C9" s="5" t="inlineStr">
        <is>
          <t>Not run in the upload demo</t>
        </is>
      </c>
      <c r="D9" s="5" t="inlineStr">
        <is>
          <t>—</t>
        </is>
      </c>
      <c r="E9" s="5" t="inlineStr">
        <is>
          <t>read</t>
        </is>
      </c>
      <c r="F9" s="12" t="n"/>
      <c r="G9" s="22" t="inlineStr">
        <is>
          <t>Not run in the upload demo. This section needs data sources the demo does not reach, so it is left empty rather than filled with placeholders.</t>
        </is>
      </c>
    </row>
    <row r="10">
      <c r="A10" s="24" t="inlineStr">
        <is>
          <t>closing_costs.transfer_tax.amount</t>
        </is>
      </c>
      <c r="B10" s="5" t="inlineStr">
        <is>
          <t>0</t>
        </is>
      </c>
      <c r="C10" s="5" t="inlineStr">
        <is>
          <t>Not run in the upload demo</t>
        </is>
      </c>
      <c r="D10" s="5" t="inlineStr">
        <is>
          <t>—</t>
        </is>
      </c>
      <c r="E10" s="5" t="inlineStr">
        <is>
          <t>read</t>
        </is>
      </c>
      <c r="F10" s="12" t="n"/>
      <c r="G10" s="22" t="inlineStr">
        <is>
          <t>Not run in the upload demo. This section needs data sources the demo does not reach, so it is left empty rather than filled with placeholders.</t>
        </is>
      </c>
    </row>
    <row r="11">
      <c r="A11" s="24"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2" t="inlineStr">
        <is>
          <t>Every community the service returned that is not a detail row, with the reason. Carried in the interchange file; not shown as a table.</t>
        </is>
      </c>
    </row>
    <row r="12">
      <c r="A12" s="24"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2" t="inlineStr">
        <is>
          <t>Own weekly scrape; asking and net effective stated separately.</t>
        </is>
      </c>
    </row>
    <row r="13">
      <c r="A13" s="24"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2" t="inlineStr">
        <is>
          <t>Closest same-product communities first, within the vintage band where the registry carries a year built; an unknown year keeps the community and says so.</t>
        </is>
      </c>
    </row>
    <row r="14">
      <c r="A14" s="24"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2" t="inlineStr">
        <is>
          <t>Ring demographics.</t>
        </is>
      </c>
    </row>
    <row r="15">
      <c r="A15" s="24"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2" t="inlineStr">
        <is>
          <t>ZIP and metro home values from the vendored Zillow ZHVI table; static, undated.</t>
        </is>
      </c>
    </row>
    <row r="16">
      <c r="A16" s="24" t="inlineStr">
        <is>
          <t>om_comps.rent</t>
        </is>
      </c>
      <c r="B16" s="5" t="inlineStr">
        <is>
          <t>0 entries</t>
        </is>
      </c>
      <c r="C16" s="5" t="inlineStr">
        <is>
          <t>Sample Property Offering Memorandum.pdf</t>
        </is>
      </c>
      <c r="D16" s="5" t="inlineStr">
        <is>
          <t>p.20</t>
        </is>
      </c>
      <c r="E16" s="5" t="inlineStr">
        <is>
          <t>read</t>
        </is>
      </c>
      <c r="F16" s="12" t="n"/>
      <c r="G16" s="22" t="inlineStr">
        <is>
          <t>4 rent comparable(s) the memorandum states; every figure verified inside its own quote.</t>
        </is>
      </c>
    </row>
    <row r="17">
      <c r="A17" s="24" t="inlineStr">
        <is>
          <t>pricing.price_per_unit</t>
        </is>
      </c>
      <c r="B17" s="5" t="inlineStr">
        <is>
          <t>215,000</t>
        </is>
      </c>
      <c r="C17" s="5" t="inlineStr">
        <is>
          <t>Illustrative price</t>
        </is>
      </c>
      <c r="D17" s="5" t="inlineStr">
        <is>
          <t>—</t>
        </is>
      </c>
      <c r="E17" s="5" t="inlineStr">
        <is>
          <t>read</t>
        </is>
      </c>
      <c r="F17" s="12" t="n"/>
      <c r="G17" s="22" t="inlineStr">
        <is>
          <t>Per-unit price chosen for the sample, inside the sale-price band; every cap rate and pricing ladder is computed from it.</t>
        </is>
      </c>
    </row>
    <row r="18">
      <c r="A18" s="24" t="inlineStr">
        <is>
          <t>pricing.unit_count</t>
        </is>
      </c>
      <c r="B18" s="5" t="inlineStr">
        <is>
          <t>334</t>
        </is>
      </c>
      <c r="C18" s="5" t="inlineStr">
        <is>
          <t>Sample Property RR 8.4.26.xlsx</t>
        </is>
      </c>
      <c r="D18" s="5" t="inlineStr">
        <is>
          <t>—</t>
        </is>
      </c>
      <c r="E18" s="5" t="inlineStr">
        <is>
          <t>derived</t>
        </is>
      </c>
      <c r="F18" s="5" t="inlineStr">
        <is>
          <t>summary.unit_count</t>
        </is>
      </c>
      <c r="G18" s="22" t="inlineStr">
        <is>
          <t>The same count the summary carries, counted from the rows of the uploaded rent roll.</t>
        </is>
      </c>
    </row>
    <row r="19">
      <c r="A19" s="24" t="inlineStr">
        <is>
          <t>summary.address_provenance</t>
        </is>
      </c>
      <c r="B19" s="5" t="inlineStr">
        <is>
          <t>Illustrative address — not the asset's real location. The market tabs were pulled for t…</t>
        </is>
      </c>
      <c r="C19" s="5" t="inlineStr">
        <is>
          <t>Illustrative address</t>
        </is>
      </c>
      <c r="D19" s="5" t="inlineStr">
        <is>
          <t>—</t>
        </is>
      </c>
      <c r="E19" s="5" t="inlineStr">
        <is>
          <t>read</t>
        </is>
      </c>
      <c r="F19" s="12" t="n"/>
      <c r="G19" s="22" t="inlineStr">
        <is>
          <t>Illustrative address — not the asset's real location. The market tabs were pulled for this address on 2026-09-14.</t>
        </is>
      </c>
    </row>
    <row r="20">
      <c r="A20" s="24" t="inlineStr">
        <is>
          <t>summary.assessed_value_basis</t>
        </is>
      </c>
      <c r="B20" s="5" t="inlineStr">
        <is>
          <t>MISSING</t>
        </is>
      </c>
      <c r="C20" s="5" t="inlineStr">
        <is>
          <t>Internal pipeline only</t>
        </is>
      </c>
      <c r="D20" s="5" t="inlineStr">
        <is>
          <t>—</t>
        </is>
      </c>
      <c r="E20" s="5" t="inlineStr">
        <is>
          <t>read</t>
        </is>
      </c>
      <c r="F20" s="12" t="n"/>
      <c r="G20" s="22" t="inlineStr">
        <is>
          <t>See parcel: read off the county assessor's portal by the internal pipeline only.</t>
        </is>
      </c>
    </row>
    <row r="21">
      <c r="A21" s="24" t="inlineStr">
        <is>
          <t>summary.assessment_ratio</t>
        </is>
      </c>
      <c r="B21" s="5" t="inlineStr">
        <is>
          <t>0.1</t>
        </is>
      </c>
      <c r="C21" s="5" t="inlineStr">
        <is>
          <t>Vendored county rate table</t>
        </is>
      </c>
      <c r="D21" s="5" t="inlineStr">
        <is>
          <t>property_tax_table.STATE_RULES['AZ']</t>
        </is>
      </c>
      <c r="E21" s="5" t="inlineStr">
        <is>
          <t>read</t>
        </is>
      </c>
      <c r="F21" s="12" t="n"/>
      <c r="G21" s="22" t="inlineStr">
        <is>
          <t>10% — legal class 4.2, residential rental. A.R.S. sec. 42-15003 (class four assessed at 10%); A.R.S. sec. 42-12004 (class four includes residential rental property).</t>
        </is>
      </c>
    </row>
    <row r="22">
      <c r="A22" s="24" t="inlineStr">
        <is>
          <t>summary.city</t>
        </is>
      </c>
      <c r="B22" s="5" t="inlineStr">
        <is>
          <t>Mesa</t>
        </is>
      </c>
      <c r="C22" s="5" t="inlineStr">
        <is>
          <t>Illustrative address</t>
        </is>
      </c>
      <c r="D22" s="5" t="inlineStr">
        <is>
          <t>—</t>
        </is>
      </c>
      <c r="E22" s="5" t="inlineStr">
        <is>
          <t>read</t>
        </is>
      </c>
      <c r="F22" s="12" t="n"/>
      <c r="G22" s="22" t="inlineStr">
        <is>
          <t>Illustrative address — not the asset's real location. The market tabs were pulled for this address on 2026-09-14.</t>
        </is>
      </c>
    </row>
    <row r="23">
      <c r="A23" s="24" t="inlineStr">
        <is>
          <t>summary.construction_status</t>
        </is>
      </c>
      <c r="B23" s="5" t="inlineStr">
        <is>
          <t>MISSING</t>
        </is>
      </c>
      <c r="C23" s="5" t="inlineStr">
        <is>
          <t>Not stated in the uploaded documents</t>
        </is>
      </c>
      <c r="D23" s="5" t="inlineStr">
        <is>
          <t>—</t>
        </is>
      </c>
      <c r="E23" s="5" t="inlineStr">
        <is>
          <t>read</t>
        </is>
      </c>
      <c r="F23" s="12" t="n"/>
      <c r="G23" s="22" t="inlineStr">
        <is>
          <t>No uploaded document stated this, so the value reads MISSING. Nothing was assumed to fill it.</t>
        </is>
      </c>
    </row>
    <row r="24">
      <c r="A24" s="24" t="inlineStr">
        <is>
          <t>summary.county</t>
        </is>
      </c>
      <c r="B24" s="5" t="inlineStr">
        <is>
          <t>Maricopa</t>
        </is>
      </c>
      <c r="C24" s="5" t="inlineStr">
        <is>
          <t>Illustrative address</t>
        </is>
      </c>
      <c r="D24" s="5" t="inlineStr">
        <is>
          <t>—</t>
        </is>
      </c>
      <c r="E24" s="5" t="inlineStr">
        <is>
          <t>read</t>
        </is>
      </c>
      <c r="F24" s="12" t="n"/>
      <c r="G24" s="22" t="inlineStr">
        <is>
          <t>Illustrative address — not the asset's real location. The market tabs were pulled for this address on 2026-09-14.</t>
        </is>
      </c>
    </row>
    <row r="25">
      <c r="A25" s="24" t="inlineStr">
        <is>
          <t>summary.deal_name</t>
        </is>
      </c>
      <c r="B25" s="5" t="inlineStr">
        <is>
          <t>Sample Mesa Apt</t>
        </is>
      </c>
      <c r="C25" s="5" t="inlineStr">
        <is>
          <t>Illustrative name</t>
        </is>
      </c>
      <c r="D25" s="5" t="inlineStr">
        <is>
          <t>—</t>
        </is>
      </c>
      <c r="E25" s="5" t="inlineStr">
        <is>
          <t>read</t>
        </is>
      </c>
      <c r="F25" s="12" t="n"/>
      <c r="G25" s="22" t="inlineStr">
        <is>
          <t>An illustrative name for the public sample. The real asset's name is withheld; the memorandum's own name for it does not appear anywhere in this set.</t>
        </is>
      </c>
    </row>
    <row r="26">
      <c r="A26" s="24" t="inlineStr">
        <is>
          <t>summary.deal_status</t>
        </is>
      </c>
      <c r="B26" s="5" t="inlineStr">
        <is>
          <t>MISSING</t>
        </is>
      </c>
      <c r="C26" s="5" t="inlineStr">
        <is>
          <t>Not stated in the uploaded documents</t>
        </is>
      </c>
      <c r="D26" s="5" t="inlineStr">
        <is>
          <t>—</t>
        </is>
      </c>
      <c r="E26" s="5" t="inlineStr">
        <is>
          <t>read</t>
        </is>
      </c>
      <c r="F26" s="12" t="n"/>
      <c r="G26" s="22" t="inlineStr">
        <is>
          <t>No uploaded document stated this, so the value reads MISSING. Nothing was assumed to fill it.</t>
        </is>
      </c>
    </row>
    <row r="27">
      <c r="A27" s="24" t="inlineStr">
        <is>
          <t>summary.delivery_date</t>
        </is>
      </c>
      <c r="B27" s="5" t="inlineStr">
        <is>
          <t>MISSING</t>
        </is>
      </c>
      <c r="C27" s="5" t="inlineStr">
        <is>
          <t>Not stated in the uploaded documents</t>
        </is>
      </c>
      <c r="D27" s="5" t="inlineStr">
        <is>
          <t>—</t>
        </is>
      </c>
      <c r="E27" s="5" t="inlineStr">
        <is>
          <t>read</t>
        </is>
      </c>
      <c r="F27" s="12" t="n"/>
      <c r="G27" s="22" t="inlineStr">
        <is>
          <t>No uploaded document stated this, so the value reads MISSING. Nothing was assumed to fill it.</t>
        </is>
      </c>
    </row>
    <row r="28">
      <c r="A28" s="24" t="inlineStr">
        <is>
          <t>summary.fair_market_value</t>
        </is>
      </c>
      <c r="B28" s="5" t="inlineStr">
        <is>
          <t>MISSING</t>
        </is>
      </c>
      <c r="C28" s="5" t="inlineStr">
        <is>
          <t>Internal pipeline only</t>
        </is>
      </c>
      <c r="D28" s="5" t="inlineStr">
        <is>
          <t>—</t>
        </is>
      </c>
      <c r="E28" s="5" t="inlineStr">
        <is>
          <t>read</t>
        </is>
      </c>
      <c r="F28" s="12" t="n"/>
      <c r="G28" s="22" t="inlineStr">
        <is>
          <t>The internal pipeline pulls a market value by web lookup; the demo does not reach the web.</t>
        </is>
      </c>
    </row>
    <row r="29">
      <c r="A29" s="24" t="inlineStr">
        <is>
          <t>summary.in_place_rent_avg</t>
        </is>
      </c>
      <c r="B29" s="5" t="inlineStr">
        <is>
          <t>1,456.99</t>
        </is>
      </c>
      <c r="C29" s="5" t="inlineStr">
        <is>
          <t>Sample Property RR 8.4.26.xlsx</t>
        </is>
      </c>
      <c r="D29" s="5" t="inlineStr">
        <is>
          <t>—</t>
        </is>
      </c>
      <c r="E29" s="5" t="inlineStr">
        <is>
          <t>derived</t>
        </is>
      </c>
      <c r="F29" s="5" t="inlineStr">
        <is>
          <t>rent_roll.units</t>
        </is>
      </c>
      <c r="G29" s="22" t="inlineStr">
        <is>
          <t>Unit-weighted across the uploaded roll.</t>
        </is>
      </c>
    </row>
    <row r="30">
      <c r="A30" s="24" t="inlineStr">
        <is>
          <t>summary.listing_brokerage</t>
        </is>
      </c>
      <c r="B30" s="5" t="inlineStr">
        <is>
          <t>Desert Ridge Capital Advisors</t>
        </is>
      </c>
      <c r="C30" s="5" t="inlineStr">
        <is>
          <t>Illustrative name</t>
        </is>
      </c>
      <c r="D30" s="5" t="inlineStr">
        <is>
          <t>—</t>
        </is>
      </c>
      <c r="E30" s="5" t="inlineStr">
        <is>
          <t>read</t>
        </is>
      </c>
      <c r="F30" s="12" t="n"/>
      <c r="G30" s="22" t="inlineStr">
        <is>
          <t>An illustrative name. The real party is withheld from the public sample.</t>
        </is>
      </c>
    </row>
    <row r="31">
      <c r="A31" s="24" t="inlineStr">
        <is>
          <t>summary.market_rent_for_model</t>
        </is>
      </c>
      <c r="B31" s="5" t="inlineStr">
        <is>
          <t>1,344.6</t>
        </is>
      </c>
      <c r="C31" s="5" t="inlineStr">
        <is>
          <t>Sample Property RR 8.4.26.xlsx</t>
        </is>
      </c>
      <c r="D31" s="5" t="inlineStr">
        <is>
          <t>—</t>
        </is>
      </c>
      <c r="E31" s="5" t="inlineStr">
        <is>
          <t>derived</t>
        </is>
      </c>
      <c r="F31" s="5" t="inlineStr">
        <is>
          <t>rent_roll.units</t>
        </is>
      </c>
      <c r="G31" s="22" t="inlineStr">
        <is>
          <t>Unit-weighted across the uploaded roll.</t>
        </is>
      </c>
    </row>
    <row r="32">
      <c r="A32" s="24" t="inlineStr">
        <is>
          <t>summary.msa</t>
        </is>
      </c>
      <c r="B32" s="5" t="inlineStr">
        <is>
          <t>Phoenix MSA</t>
        </is>
      </c>
      <c r="C32" s="5" t="inlineStr">
        <is>
          <t>Illustrative address</t>
        </is>
      </c>
      <c r="D32" s="5" t="inlineStr">
        <is>
          <t>—</t>
        </is>
      </c>
      <c r="E32" s="5" t="inlineStr">
        <is>
          <t>read</t>
        </is>
      </c>
      <c r="F32" s="12" t="n"/>
      <c r="G32" s="22" t="inlineStr">
        <is>
          <t>Illustrative address — not the asset's real location. The market tabs were pulled for this address on 2026-09-14.</t>
        </is>
      </c>
    </row>
    <row r="33">
      <c r="A33" s="24" t="inlineStr">
        <is>
          <t>summary.pricing_guidance</t>
        </is>
      </c>
      <c r="B33" s="5" t="inlineStr">
        <is>
          <t>$215,000 per unit (illustrative)</t>
        </is>
      </c>
      <c r="C33" s="5" t="inlineStr">
        <is>
          <t>Illustrative price</t>
        </is>
      </c>
      <c r="D33" s="5" t="inlineStr">
        <is>
          <t>—</t>
        </is>
      </c>
      <c r="E33" s="5" t="inlineStr">
        <is>
          <t>read</t>
        </is>
      </c>
      <c r="F33" s="12" t="n"/>
      <c r="G33" s="22" t="inlineStr">
        <is>
          <t>Every price and cap rate below is illustrative. The per-unit price is a round number chosen for the sample inside the band a real per-unit sale price occupies; it is not a quote, an offer, or a broker's guidance.</t>
        </is>
      </c>
    </row>
    <row r="34">
      <c r="A34" s="24" t="inlineStr">
        <is>
          <t>summary.product_detail</t>
        </is>
      </c>
      <c r="B34" s="5" t="inlineStr">
        <is>
          <t>Diversified mix of one-, two-, and three-bedroom residences averaging 856 square feet o…</t>
        </is>
      </c>
      <c r="C34" s="5" t="inlineStr">
        <is>
          <t>Sample Property Offering Memorandum.pdf</t>
        </is>
      </c>
      <c r="D34" s="5" t="inlineStr">
        <is>
          <t>p.3</t>
        </is>
      </c>
      <c r="E34" s="5" t="inlineStr">
        <is>
          <t>read</t>
        </is>
      </c>
      <c r="F34" s="12" t="n"/>
      <c r="G34" s="22" t="inlineStr">
        <is>
          <t>the property offers a diversified mix of 
one-, two-, and three-bedroom residences averaging 856 square 
feet</t>
        </is>
      </c>
    </row>
    <row r="35">
      <c r="A35" s="24" t="inlineStr">
        <is>
          <t>summary.product_type</t>
        </is>
      </c>
      <c r="B35" s="5" t="inlineStr">
        <is>
          <t>Garden-style multifamily</t>
        </is>
      </c>
      <c r="C35" s="5" t="inlineStr">
        <is>
          <t>Sample Property Offering Memorandum.pdf</t>
        </is>
      </c>
      <c r="D35" s="5" t="inlineStr">
        <is>
          <t>p.3</t>
        </is>
      </c>
      <c r="E35" s="5" t="inlineStr">
        <is>
          <t>read</t>
        </is>
      </c>
      <c r="F35" s="12" t="n"/>
      <c r="G35" s="22" t="inlineStr">
        <is>
          <t>Stated in the memorandum; withheld from the public sample because it identifies the real asset.</t>
        </is>
      </c>
    </row>
    <row r="36">
      <c r="A36" s="24" t="inlineStr">
        <is>
          <t>summary.school_elementary_name</t>
        </is>
      </c>
      <c r="B36" s="5" t="inlineStr">
        <is>
          <t>Porter Elementary School</t>
        </is>
      </c>
      <c r="C36" s="5" t="inlineStr">
        <is>
          <t>Internal underwriting agent — attendance-zone school lookup</t>
        </is>
      </c>
      <c r="D36" s="5" t="inlineStr">
        <is>
          <t>2151 E Southern Ave, Mesa, AZ 85204 on 2026-09-14</t>
        </is>
      </c>
      <c r="E36" s="5" t="inlineStr">
        <is>
          <t>read</t>
        </is>
      </c>
      <c r="F36" s="12" t="n"/>
      <c r="G36" s="22" t="inlineStr">
        <is>
          <t>Looked up for the illustrative address by the internal underwriting agent; the public demo does not run this on an uploaded deal.</t>
        </is>
      </c>
    </row>
    <row r="37">
      <c r="A37" s="24" t="inlineStr">
        <is>
          <t>summary.school_high_name</t>
        </is>
      </c>
      <c r="B37" s="5" t="inlineStr">
        <is>
          <t>Mesa High School</t>
        </is>
      </c>
      <c r="C37" s="5" t="inlineStr">
        <is>
          <t>Internal underwriting agent — attendance-zone school lookup</t>
        </is>
      </c>
      <c r="D37" s="5" t="inlineStr">
        <is>
          <t>2151 E Southern Ave, Mesa, AZ 85204 on 2026-09-14</t>
        </is>
      </c>
      <c r="E37" s="5" t="inlineStr">
        <is>
          <t>read</t>
        </is>
      </c>
      <c r="F37" s="12" t="n"/>
      <c r="G37" s="22" t="inlineStr">
        <is>
          <t>Looked up for the illustrative address by the internal underwriting agent; the public demo does not run this on an uploaded deal.</t>
        </is>
      </c>
    </row>
    <row r="38">
      <c r="A38" s="24" t="inlineStr">
        <is>
          <t>summary.school_middle_name</t>
        </is>
      </c>
      <c r="B38" s="5" t="inlineStr">
        <is>
          <t>Taylor Junior High School</t>
        </is>
      </c>
      <c r="C38" s="5" t="inlineStr">
        <is>
          <t>Internal underwriting agent — attendance-zone school lookup</t>
        </is>
      </c>
      <c r="D38" s="5" t="inlineStr">
        <is>
          <t>2151 E Southern Ave, Mesa, AZ 85204 on 2026-09-14</t>
        </is>
      </c>
      <c r="E38" s="5" t="inlineStr">
        <is>
          <t>read</t>
        </is>
      </c>
      <c r="F38" s="12" t="n"/>
      <c r="G38" s="22" t="inlineStr">
        <is>
          <t>Looked up for the illustrative address by the internal underwriting agent; the public demo does not run this on an uploaded deal.</t>
        </is>
      </c>
    </row>
    <row r="39">
      <c r="A39" s="24" t="inlineStr">
        <is>
          <t>summary.seller_entity</t>
        </is>
      </c>
      <c r="B39" s="5" t="inlineStr">
        <is>
          <t>Sonoran Residential Holdings LLC</t>
        </is>
      </c>
      <c r="C39" s="5" t="inlineStr">
        <is>
          <t>Illustrative name</t>
        </is>
      </c>
      <c r="D39" s="5" t="inlineStr">
        <is>
          <t>—</t>
        </is>
      </c>
      <c r="E39" s="5" t="inlineStr">
        <is>
          <t>read</t>
        </is>
      </c>
      <c r="F39" s="12" t="n"/>
      <c r="G39" s="22" t="inlineStr">
        <is>
          <t>An illustrative name. The real party is withheld from the public sample.</t>
        </is>
      </c>
    </row>
    <row r="40">
      <c r="A40" s="24" t="inlineStr">
        <is>
          <t>summary.state</t>
        </is>
      </c>
      <c r="B40" s="5" t="inlineStr">
        <is>
          <t>AZ</t>
        </is>
      </c>
      <c r="C40" s="5" t="inlineStr">
        <is>
          <t>Illustrative address</t>
        </is>
      </c>
      <c r="D40" s="5" t="inlineStr">
        <is>
          <t>—</t>
        </is>
      </c>
      <c r="E40" s="5" t="inlineStr">
        <is>
          <t>read</t>
        </is>
      </c>
      <c r="F40" s="12" t="n"/>
      <c r="G40" s="22" t="inlineStr">
        <is>
          <t>Illustrative address — not the asset's real location. The market tabs were pulled for this address on 2026-09-14.</t>
        </is>
      </c>
    </row>
    <row r="41">
      <c r="A41" s="24" t="inlineStr">
        <is>
          <t>summary.street_address</t>
        </is>
      </c>
      <c r="B41" s="5" t="inlineStr">
        <is>
          <t>2151 E Southern Ave</t>
        </is>
      </c>
      <c r="C41" s="5" t="inlineStr">
        <is>
          <t>Illustrative address</t>
        </is>
      </c>
      <c r="D41" s="5" t="inlineStr">
        <is>
          <t>—</t>
        </is>
      </c>
      <c r="E41" s="5" t="inlineStr">
        <is>
          <t>read</t>
        </is>
      </c>
      <c r="F41" s="12" t="n"/>
      <c r="G41" s="22" t="inlineStr">
        <is>
          <t>Illustrative address — not the asset's real location. The market tabs were pulled for this address on 2026-09-14.</t>
        </is>
      </c>
    </row>
    <row r="42">
      <c r="A42" s="24" t="inlineStr">
        <is>
          <t>summary.structure</t>
        </is>
      </c>
      <c r="B42" s="5" t="inlineStr">
        <is>
          <t>1 &amp; 2 stories</t>
        </is>
      </c>
      <c r="C42" s="5" t="inlineStr">
        <is>
          <t>Sample Property Offering Memorandum.pdf</t>
        </is>
      </c>
      <c r="D42" s="5" t="inlineStr">
        <is>
          <t>p.10</t>
        </is>
      </c>
      <c r="E42" s="5" t="inlineStr">
        <is>
          <t>read</t>
        </is>
      </c>
      <c r="F42" s="12" t="n"/>
      <c r="G42" s="22" t="inlineStr">
        <is>
          <t>Number of Stories 1 &amp; 2</t>
        </is>
      </c>
    </row>
    <row r="43">
      <c r="A43" s="24" t="inlineStr">
        <is>
          <t>summary.tax_area_code</t>
        </is>
      </c>
      <c r="B43" s="5" t="inlineStr">
        <is>
          <t>MISSING</t>
        </is>
      </c>
      <c r="C43" s="5" t="inlineStr">
        <is>
          <t>Internal pipeline only</t>
        </is>
      </c>
      <c r="D43" s="5" t="inlineStr">
        <is>
          <t>—</t>
        </is>
      </c>
      <c r="E43" s="5" t="inlineStr">
        <is>
          <t>read</t>
        </is>
      </c>
      <c r="F43" s="12" t="n"/>
      <c r="G43" s="22" t="inlineStr">
        <is>
          <t>See parcel: read off the county assessor's portal by the internal pipeline only.</t>
        </is>
      </c>
    </row>
    <row r="44">
      <c r="A44" s="24" t="inlineStr">
        <is>
          <t>summary.tax_basis_label</t>
        </is>
      </c>
      <c r="B44" s="5" t="inlineStr">
        <is>
          <t>Limited property value (LPV), per the county assessor</t>
        </is>
      </c>
      <c r="C44" s="5" t="inlineStr">
        <is>
          <t>Vendored county rate table</t>
        </is>
      </c>
      <c r="D44" s="5" t="inlineStr">
        <is>
          <t>property_tax_table.STATE_RULES['AZ']</t>
        </is>
      </c>
      <c r="E44" s="5" t="inlineStr">
        <is>
          <t>read</t>
        </is>
      </c>
      <c r="F44" s="12" t="n"/>
      <c r="G44" s="22" t="inlineStr">
        <is>
          <t>What the assessed basis is in this state.</t>
        </is>
      </c>
    </row>
    <row r="45">
      <c r="A45" s="24" t="inlineStr">
        <is>
          <t>summary.tax_basis_note</t>
        </is>
      </c>
      <c r="B45" s="5" t="inlineStr">
        <is>
          <t>Arizona taxes the limited property value, not the price. Under Proposition 117 (Ariz. C…</t>
        </is>
      </c>
      <c r="C45" s="5" t="inlineStr">
        <is>
          <t>Vendored county rate table</t>
        </is>
      </c>
      <c r="D45" s="5" t="inlineStr">
        <is>
          <t>property_tax_table.STATE_RULES['AZ']</t>
        </is>
      </c>
      <c r="E45" s="5" t="inlineStr">
        <is>
          <t>read</t>
        </is>
      </c>
      <c r="F45" s="12" t="n"/>
      <c r="G45" s="22" t="inlineStr">
        <is>
          <t>How the basis behaves on a sale, with the authority.</t>
        </is>
      </c>
    </row>
    <row r="46">
      <c r="A46" s="24" t="inlineStr">
        <is>
          <t>summary.tax_billed_amount</t>
        </is>
      </c>
      <c r="B46" s="5" t="inlineStr">
        <is>
          <t>249,122</t>
        </is>
      </c>
      <c r="C46" s="5" t="inlineStr">
        <is>
          <t>Sample Property Offering Memorandum.pdf</t>
        </is>
      </c>
      <c r="D46" s="5" t="inlineStr">
        <is>
          <t>p.10</t>
        </is>
      </c>
      <c r="E46" s="5" t="inlineStr">
        <is>
          <t>read</t>
        </is>
      </c>
      <c r="F46" s="12" t="n"/>
      <c r="G46" s="22" t="inlineStr">
        <is>
          <t>2025 Property Tax $249,122</t>
        </is>
      </c>
    </row>
    <row r="47">
      <c r="A47" s="24" t="inlineStr">
        <is>
          <t>summary.tax_billed_year</t>
        </is>
      </c>
      <c r="B47" s="5" t="inlineStr">
        <is>
          <t>2,025</t>
        </is>
      </c>
      <c r="C47" s="5" t="inlineStr">
        <is>
          <t>Sample Property Offering Memorandum.pdf</t>
        </is>
      </c>
      <c r="D47" s="5" t="inlineStr">
        <is>
          <t>p.10</t>
        </is>
      </c>
      <c r="E47" s="5" t="inlineStr">
        <is>
          <t>read</t>
        </is>
      </c>
      <c r="F47" s="12" t="n"/>
      <c r="G47" s="22" t="inlineStr">
        <is>
          <t>2025 Property Tax $249,122</t>
        </is>
      </c>
    </row>
    <row r="48">
      <c r="A48" s="24" t="inlineStr">
        <is>
          <t>summary.tax_divisor</t>
        </is>
      </c>
      <c r="B48" s="5" t="inlineStr">
        <is>
          <t>100</t>
        </is>
      </c>
      <c r="C48" s="5" t="inlineStr">
        <is>
          <t>Vendored county rate table</t>
        </is>
      </c>
      <c r="D48" s="5" t="inlineStr">
        <is>
          <t>property_tax_table.STATE_RULES['AZ']</t>
        </is>
      </c>
      <c r="E48" s="5" t="inlineStr">
        <is>
          <t>read</t>
        </is>
      </c>
      <c r="F48" s="12" t="n"/>
      <c r="G48" s="22" t="inlineStr">
        <is>
          <t>The rate's unit in Arizona: per $100 of assessed value.</t>
        </is>
      </c>
    </row>
    <row r="49">
      <c r="A49" s="24" t="inlineStr">
        <is>
          <t>summary.tax_exemption</t>
        </is>
      </c>
      <c r="B49" s="5" t="inlineStr">
        <is>
          <t>MISSING</t>
        </is>
      </c>
      <c r="C49" s="5" t="inlineStr">
        <is>
          <t>Internal pipeline only</t>
        </is>
      </c>
      <c r="D49" s="5" t="inlineStr">
        <is>
          <t>—</t>
        </is>
      </c>
      <c r="E49" s="5" t="inlineStr">
        <is>
          <t>read</t>
        </is>
      </c>
      <c r="F49" s="12" t="n"/>
      <c r="G49" s="22" t="inlineStr">
        <is>
          <t>See parcel: read off the county assessor's portal by the internal pipeline only.</t>
        </is>
      </c>
    </row>
    <row r="50">
      <c r="A50" s="24" t="inlineStr">
        <is>
          <t>summary.tax_parcel_id</t>
        </is>
      </c>
      <c r="B50" s="5" t="inlineStr">
        <is>
          <t>301-04-002K</t>
        </is>
      </c>
      <c r="C50" s="5" t="inlineStr">
        <is>
          <t>Sample Property Offering Memorandum.pdf</t>
        </is>
      </c>
      <c r="D50" s="5" t="inlineStr">
        <is>
          <t>p.10</t>
        </is>
      </c>
      <c r="E50" s="5" t="inlineStr">
        <is>
          <t>read</t>
        </is>
      </c>
      <c r="F50" s="12" t="n"/>
      <c r="G50" s="22" t="inlineStr">
        <is>
          <t>Tax Parcel Number 301-04-002K</t>
        </is>
      </c>
    </row>
    <row r="51">
      <c r="A51" s="24" t="inlineStr">
        <is>
          <t>summary.tax_per_unit_flag</t>
        </is>
      </c>
      <c r="B51" s="5" t="inlineStr">
        <is>
          <t>In band (the statement's line per unit): $717 per unit a year is inside the AZ band of …</t>
        </is>
      </c>
      <c r="C51" s="5" t="inlineStr">
        <is>
          <t>Vendored county rate table</t>
        </is>
      </c>
      <c r="D51" s="5" t="inlineStr">
        <is>
          <t>property_tax_table.band_check</t>
        </is>
      </c>
      <c r="E51" s="5" t="inlineStr">
        <is>
          <t>derived</t>
        </is>
      </c>
      <c r="F51" s="5" t="inlineStr">
        <is>
          <t>summary.tax_statement_amount, summary.unit_count, summary.state</t>
        </is>
      </c>
      <c r="G51" s="22" t="inlineStr">
        <is>
          <t>A sanity check against the state's typical per-unit range. It flags; it never changes a figure.</t>
        </is>
      </c>
    </row>
    <row r="52">
      <c r="A52" s="24" t="inlineStr">
        <is>
          <t>summary.tax_rate_as_billed</t>
        </is>
      </c>
      <c r="B52" s="5" t="inlineStr">
        <is>
          <t>10.26</t>
        </is>
      </c>
      <c r="C52" s="5" t="inlineStr">
        <is>
          <t>Vendored county rate table</t>
        </is>
      </c>
      <c r="D52" s="5" t="inlineStr">
        <is>
          <t>property_tax_table.COUNTY_RATES[('AZ', 'maricopa')]</t>
        </is>
      </c>
      <c r="E52" s="5" t="inlineStr">
        <is>
          <t>read</t>
        </is>
      </c>
      <c r="F52" s="12" t="n"/>
      <c r="G52" s="22"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3">
      <c r="A53" s="24" t="inlineStr">
        <is>
          <t>summary.tax_rate_evidence</t>
        </is>
      </c>
      <c r="B53" s="5" t="inlineStr">
        <is>
          <t>Vendored county rate table: 10.2573 per $100 of assessed value, tax year 2025 — Tax are…</t>
        </is>
      </c>
      <c r="C53" s="5" t="inlineStr">
        <is>
          <t>Vendored county rate table</t>
        </is>
      </c>
      <c r="D53" s="5" t="inlineStr">
        <is>
          <t>property_tax_table.evidence_text</t>
        </is>
      </c>
      <c r="E53" s="5" t="inlineStr">
        <is>
          <t>derived</t>
        </is>
      </c>
      <c r="F53" s="5" t="inlineStr">
        <is>
          <t>summary.state, summary.county, summary.tax_parcel_id, summary.tax_billed_amount, summary.tax_billed_year</t>
        </is>
      </c>
      <c r="G53" s="22" t="inlineStr">
        <is>
          <t>The citation, tax year and jurisdiction stack behind the rate, or the honest note that none is on file. Also records what the uploaded document stated for the field(s) it cites.</t>
        </is>
      </c>
    </row>
    <row r="54">
      <c r="A54" s="24" t="inlineStr">
        <is>
          <t>summary.tax_rate_year</t>
        </is>
      </c>
      <c r="B54" s="5" t="inlineStr">
        <is>
          <t>2,025</t>
        </is>
      </c>
      <c r="C54" s="5" t="inlineStr">
        <is>
          <t>Vendored county rate table</t>
        </is>
      </c>
      <c r="D54" s="5" t="inlineStr">
        <is>
          <t>property_tax_table.COUNTY_RATES[('AZ', 'maricopa')]</t>
        </is>
      </c>
      <c r="E54" s="5" t="inlineStr">
        <is>
          <t>read</t>
        </is>
      </c>
      <c r="F54" s="12" t="n"/>
      <c r="G54" s="22" t="inlineStr">
        <is>
          <t>The tax year of the rate on file. A bill from another year is displayed, not tied out.</t>
        </is>
      </c>
    </row>
    <row r="55">
      <c r="A55" s="24" t="inlineStr">
        <is>
          <t>summary.tax_statement_amount</t>
        </is>
      </c>
      <c r="B55" s="5" t="inlineStr">
        <is>
          <t>239,566.79</t>
        </is>
      </c>
      <c r="C55" s="5" t="inlineStr">
        <is>
          <t>Sample Property T-12 June 26.xlsx</t>
        </is>
      </c>
      <c r="D55" s="5" t="inlineStr">
        <is>
          <t>Property Taxes lines</t>
        </is>
      </c>
      <c r="E55" s="5" t="inlineStr">
        <is>
          <t>computed</t>
        </is>
      </c>
      <c r="F55" s="5" t="inlineStr">
        <is>
          <t>t12.rows</t>
        </is>
      </c>
      <c r="G55" s="22" t="inlineStr">
        <is>
          <t>The statement's lines categorised as Property Taxes, summed over its twelve months. As billed in the statement, not the county's bill.</t>
        </is>
      </c>
    </row>
    <row r="56">
      <c r="A56" s="24" t="inlineStr">
        <is>
          <t>summary.unit_count</t>
        </is>
      </c>
      <c r="B56" s="5" t="inlineStr">
        <is>
          <t>334</t>
        </is>
      </c>
      <c r="C56" s="5" t="inlineStr">
        <is>
          <t>Sample Property RR 8.4.26.xlsx</t>
        </is>
      </c>
      <c r="D56" s="5" t="inlineStr">
        <is>
          <t>—</t>
        </is>
      </c>
      <c r="E56" s="5" t="inlineStr">
        <is>
          <t>derived</t>
        </is>
      </c>
      <c r="F56" s="5" t="inlineStr">
        <is>
          <t>rent_roll.units</t>
        </is>
      </c>
      <c r="G56" s="22" t="inlineStr">
        <is>
          <t>Counted from the rows of the uploaded rent roll.</t>
        </is>
      </c>
    </row>
    <row r="57">
      <c r="A57" s="24" t="inlineStr">
        <is>
          <t>summary.year_built</t>
        </is>
      </c>
      <c r="B57" s="5" t="inlineStr">
        <is>
          <t>1,981</t>
        </is>
      </c>
      <c r="C57" s="5" t="inlineStr">
        <is>
          <t>Sample Property Offering Memorandum.pdf</t>
        </is>
      </c>
      <c r="D57" s="5" t="inlineStr">
        <is>
          <t>p.10</t>
        </is>
      </c>
      <c r="E57" s="5" t="inlineStr">
        <is>
          <t>read</t>
        </is>
      </c>
      <c r="F57" s="12" t="n"/>
      <c r="G57" s="22" t="inlineStr">
        <is>
          <t>Y ear Built 1981</t>
        </is>
      </c>
    </row>
    <row r="58">
      <c r="A58" s="24" t="inlineStr">
        <is>
          <t>summary.zip</t>
        </is>
      </c>
      <c r="B58" s="5" t="inlineStr">
        <is>
          <t>85204</t>
        </is>
      </c>
      <c r="C58" s="5" t="inlineStr">
        <is>
          <t>Illustrative address</t>
        </is>
      </c>
      <c r="D58" s="5" t="inlineStr">
        <is>
          <t>—</t>
        </is>
      </c>
      <c r="E58" s="5" t="inlineStr">
        <is>
          <t>read</t>
        </is>
      </c>
      <c r="F58" s="12" t="n"/>
      <c r="G58" s="22" t="inlineStr">
        <is>
          <t>Illustrative address — not the asset's real location. The market tabs were pulled for this address on 2026-09-14.</t>
        </is>
      </c>
    </row>
    <row r="59">
      <c r="A59" s="24" t="inlineStr">
        <is>
          <t>supply.projects</t>
        </is>
      </c>
      <c r="B59" s="5" t="inlineStr">
        <is>
          <t>32 entries</t>
        </is>
      </c>
      <c r="C59" s="5" t="inlineStr">
        <is>
          <t>Public permit and entitlement records (the operator's supply pipeline), via the market-report service</t>
        </is>
      </c>
      <c r="D59" s="5" t="inlineStr">
        <is>
          <t>POST /report (format json)</t>
        </is>
      </c>
      <c r="E59" s="5" t="inlineStr">
        <is>
          <t>derived</t>
        </is>
      </c>
      <c r="F59" s="5" t="inlineStr">
        <is>
          <t>supply.rings</t>
        </is>
      </c>
      <c r="G59" s="22" t="inlineStr">
        <is>
          <t>The developments the counts are made of, within 3 mi: one row per development, reconciled across the pipeline's lifecycle layers and shown at the furthest stage any layer carries.</t>
        </is>
      </c>
    </row>
    <row r="60">
      <c r="A60" s="24" t="inlineStr">
        <is>
          <t>supply.rings</t>
        </is>
      </c>
      <c r="B60" s="5" t="inlineStr">
        <is>
          <t>8 entries</t>
        </is>
      </c>
      <c r="C60" s="5" t="inlineStr">
        <is>
          <t>Public permit and entitlement records (the operator's supply pipeline), via the market-report service</t>
        </is>
      </c>
      <c r="D60" s="5" t="inlineStr">
        <is>
          <t>POST /report (format json)</t>
        </is>
      </c>
      <c r="E60" s="5" t="inlineStr">
        <is>
          <t>read</t>
        </is>
      </c>
      <c r="F60" s="12" t="n"/>
      <c r="G60" s="22"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