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Rent Comps" sheetId="2" state="visible" r:id="rId2"/>
    <sheet name="Property Tax" sheetId="3" state="visible" r:id="rId3"/>
    <sheet name="Demand" sheetId="4" state="visible" r:id="rId4"/>
    <sheet name="Supply" sheetId="5" state="visible" r:id="rId5"/>
    <sheet name="Notes &amp; Disclosures" sheetId="6" state="visible" r:id="rId6"/>
    <sheet name="Audit Trail"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
    <numFmt numFmtId="167" formatCode="yyyy-mm-dd"/>
    <numFmt numFmtId="168" formatCode="mm/dd/yyyy"/>
  </numFmts>
  <fonts count="7">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name val="Calibri"/>
      <sz val="10"/>
    </font>
  </fonts>
  <fills count="5">
    <fill>
      <patternFill/>
    </fill>
    <fill>
      <patternFill patternType="gray125"/>
    </fill>
    <fill>
      <patternFill patternType="solid">
        <fgColor rgb="00595959"/>
      </patternFill>
    </fill>
    <fill>
      <patternFill patternType="solid">
        <fgColor rgb="00D9D9D9"/>
      </patternFill>
    </fill>
    <fill>
      <patternFill patternType="solid">
        <fgColor rgb="00F2F2F2"/>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5" fillId="4" borderId="0" pivotButton="0" quotePrefix="0" xfId="0"/>
    <xf numFmtId="0" fontId="5" fillId="4" borderId="0" pivotButton="0" quotePrefix="0" xfId="0"/>
    <xf numFmtId="3" fontId="5" fillId="4" borderId="0" pivotButton="0" quotePrefix="0" xfId="0"/>
    <xf numFmtId="165" fontId="5" fillId="4" borderId="0" pivotButton="0" quotePrefix="0" xfId="0"/>
    <xf numFmtId="49" fontId="4" fillId="0" borderId="0" applyAlignment="1" pivotButton="0" quotePrefix="0" xfId="0">
      <alignment vertical="top" wrapText="1"/>
    </xf>
    <xf numFmtId="3" fontId="0" fillId="0" borderId="0" pivotButton="0" quotePrefix="0" xfId="0"/>
    <xf numFmtId="49"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Southern Avenue Sample — as of 2026-08-31</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Southern Avenue Sample</t>
        </is>
      </c>
      <c r="D6" s="6" t="inlineStr">
        <is>
          <t>Illustrative</t>
        </is>
      </c>
    </row>
    <row r="7">
      <c r="A7" s="5" t="inlineStr">
        <is>
          <t>Street address</t>
        </is>
      </c>
      <c r="B7" s="5" t="inlineStr">
        <is>
          <t>2151 E Southern Ave</t>
        </is>
      </c>
      <c r="D7" s="6" t="inlineStr">
        <is>
          <t>Illustrative address</t>
        </is>
      </c>
    </row>
    <row r="8">
      <c r="A8" s="5" t="inlineStr">
        <is>
          <t>City</t>
        </is>
      </c>
      <c r="B8" s="5" t="inlineStr">
        <is>
          <t>Mesa</t>
        </is>
      </c>
      <c r="D8" s="6" t="inlineStr">
        <is>
          <t>Illustrative address</t>
        </is>
      </c>
    </row>
    <row r="9">
      <c r="A9" s="5" t="inlineStr">
        <is>
          <t>State</t>
        </is>
      </c>
      <c r="B9" s="5" t="inlineStr">
        <is>
          <t>AZ</t>
        </is>
      </c>
      <c r="D9" s="6" t="inlineStr">
        <is>
          <t>Illustrative address</t>
        </is>
      </c>
    </row>
    <row r="10">
      <c r="A10" s="5" t="inlineStr">
        <is>
          <t>ZIP</t>
        </is>
      </c>
      <c r="B10" s="5" t="inlineStr">
        <is>
          <t>85204</t>
        </is>
      </c>
      <c r="D10" s="6" t="inlineStr">
        <is>
          <t>Illustrative address</t>
        </is>
      </c>
    </row>
    <row r="11">
      <c r="A11" s="5" t="inlineStr">
        <is>
          <t>County</t>
        </is>
      </c>
      <c r="B11" s="5" t="inlineStr">
        <is>
          <t>Maricopa</t>
        </is>
      </c>
      <c r="D11" s="6" t="inlineStr">
        <is>
          <t>Illustrative address</t>
        </is>
      </c>
    </row>
    <row r="12">
      <c r="A12" s="5" t="inlineStr">
        <is>
          <t>MSA</t>
        </is>
      </c>
      <c r="B12" s="5" t="inlineStr">
        <is>
          <t>Phoenix MSA</t>
        </is>
      </c>
      <c r="D12" s="6" t="inlineStr">
        <is>
          <t>Illustrative address</t>
        </is>
      </c>
    </row>
    <row r="13">
      <c r="A13" s="5" t="inlineStr">
        <is>
          <t>Address resolved from</t>
        </is>
      </c>
      <c r="B13" s="5" t="inlineStr">
        <is>
          <t>Illustrative address — not the asset's real location. The market tabs were pulled for this address on 2026-09-14.</t>
        </is>
      </c>
      <c r="C13" s="6" t="inlineStr">
        <is>
          <t>How the address was resolved, and from which document.</t>
        </is>
      </c>
      <c r="D13" s="6" t="inlineStr">
        <is>
          <t>Illustrative address</t>
        </is>
      </c>
    </row>
    <row r="15">
      <c r="A15" s="4" t="inlineStr">
        <is>
          <t>Property</t>
        </is>
      </c>
      <c r="B15" s="4" t="n"/>
      <c r="C15" s="4" t="n"/>
    </row>
    <row r="16">
      <c r="A16" s="5" t="inlineStr">
        <is>
          <t>Product type</t>
        </is>
      </c>
      <c r="B16" s="5" t="inlineStr">
        <is>
          <t>garden-style multifamily</t>
        </is>
      </c>
      <c r="D16" s="6" t="inlineStr">
        <is>
          <t>Sample Property Offering Memorandum.pdf — p.3</t>
        </is>
      </c>
    </row>
    <row r="17">
      <c r="A17" s="5" t="inlineStr">
        <is>
          <t>Structure</t>
        </is>
      </c>
      <c r="B17" s="5" t="inlineStr">
        <is>
          <t>1 &amp; 2 stories</t>
        </is>
      </c>
      <c r="D17" s="6" t="inlineStr">
        <is>
          <t>Sample Property Offering Memorandum.pdf — p.10</t>
        </is>
      </c>
    </row>
    <row r="18">
      <c r="A18" s="5" t="inlineStr">
        <is>
          <t>Unit count</t>
        </is>
      </c>
      <c r="B18" s="7" t="n">
        <v>334</v>
      </c>
      <c r="C18" s="6" t="inlineStr">
        <is>
          <t>Divisor for every per-unit figure in the output set.</t>
        </is>
      </c>
      <c r="D18" s="6" t="inlineStr">
        <is>
          <t>Sample Property RR 8.4.26.xlsx (derived)</t>
        </is>
      </c>
    </row>
    <row r="19">
      <c r="A19" s="5" t="inlineStr">
        <is>
          <t>Year built</t>
        </is>
      </c>
      <c r="B19" s="8" t="n">
        <v>1981</v>
      </c>
      <c r="D19" s="6" t="inlineStr">
        <is>
          <t>Sample Property Offering Memorandum.pdf — p.10</t>
        </is>
      </c>
    </row>
    <row r="20">
      <c r="A20" s="5" t="inlineStr">
        <is>
          <t>Product detail</t>
        </is>
      </c>
      <c r="B20" s="5" t="inlineStr">
        <is>
          <t>One-, two-, and three-bedroom residences averaging 856 square feet across 40 buildings on 15.87 acres</t>
        </is>
      </c>
      <c r="D20" s="6" t="inlineStr">
        <is>
          <t>Sample Property Offering Memorandum.pdf — p.3</t>
        </is>
      </c>
    </row>
    <row r="21">
      <c r="A21" s="5" t="inlineStr">
        <is>
          <t>Construction status</t>
        </is>
      </c>
      <c r="B21" s="5" t="inlineStr">
        <is>
          <t>MISSING</t>
        </is>
      </c>
      <c r="D21" s="6" t="inlineStr">
        <is>
          <t>Not stated in the uploaded documents</t>
        </is>
      </c>
    </row>
    <row r="22">
      <c r="A22" s="5" t="inlineStr">
        <is>
          <t>Delivery / CO date</t>
        </is>
      </c>
      <c r="B22" s="5" t="inlineStr">
        <is>
          <t>MISSING</t>
        </is>
      </c>
      <c r="D22" s="6" t="inlineStr">
        <is>
          <t>Not stated in the uploaded documents</t>
        </is>
      </c>
    </row>
    <row r="24">
      <c r="A24" s="4" t="inlineStr">
        <is>
          <t>Parties</t>
        </is>
      </c>
      <c r="B24" s="4" t="n"/>
      <c r="C24" s="4" t="n"/>
    </row>
    <row r="25">
      <c r="A25" s="5" t="inlineStr">
        <is>
          <t>Seller entity</t>
        </is>
      </c>
      <c r="B25" s="5" t="inlineStr">
        <is>
          <t>Institutional owner-operator (name withheld)</t>
        </is>
      </c>
      <c r="D25" s="6" t="inlineStr">
        <is>
          <t>Sample Property Offering Memorandum.pdf — withheld</t>
        </is>
      </c>
    </row>
    <row r="26">
      <c r="A26" s="5" t="inlineStr">
        <is>
          <t>Listing brokerage</t>
        </is>
      </c>
      <c r="B26" s="5" t="inlineStr">
        <is>
          <t>Listing brokerage</t>
        </is>
      </c>
      <c r="D26" s="6" t="inlineStr">
        <is>
          <t>Sample Property Offering Memorandum.pdf — withheld</t>
        </is>
      </c>
    </row>
    <row r="27">
      <c r="A27" s="5" t="inlineStr">
        <is>
          <t>Deal status</t>
        </is>
      </c>
      <c r="B27" s="5" t="inlineStr">
        <is>
          <t>MISSING</t>
        </is>
      </c>
      <c r="D27" s="6" t="inlineStr">
        <is>
          <t>Not stated in the uploaded documents</t>
        </is>
      </c>
    </row>
    <row r="29">
      <c r="A29" s="4" t="inlineStr">
        <is>
          <t>Pricing (illustrative)</t>
        </is>
      </c>
      <c r="B29" s="4" t="n"/>
      <c r="C29" s="4" t="n"/>
    </row>
    <row r="30">
      <c r="A30" s="5" t="inlineStr">
        <is>
          <t>Pricing guidance</t>
        </is>
      </c>
      <c r="B30" s="5" t="inlineStr">
        <is>
          <t>$215,000 per unit (illustrative)</t>
        </is>
      </c>
      <c r="D30" s="6" t="inlineStr">
        <is>
          <t>Illustrative price</t>
        </is>
      </c>
    </row>
    <row r="31">
      <c r="A31" s="5" t="inlineStr">
        <is>
          <t>Price per unit (illustrative)</t>
        </is>
      </c>
      <c r="B31" s="7" t="n">
        <v>215000</v>
      </c>
      <c r="C31" s="6" t="inlineStr">
        <is>
          <t>Every price and cap rate below is illustrative. The per-unit price is a round number chosen for the sample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4111751.16</v>
      </c>
      <c r="C34" s="6" t="inlineStr">
        <is>
          <t>From the T-12 analysis workbook's P&amp;L rollup.</t>
        </is>
      </c>
    </row>
    <row r="35">
      <c r="A35" s="5" t="inlineStr">
        <is>
          <t>T-12 cap rate (illustrative)</t>
        </is>
      </c>
      <c r="B35" s="9">
        <f>IFERROR(B34/B32,"")</f>
        <v/>
      </c>
    </row>
    <row r="36">
      <c r="A36" s="5" t="inlineStr">
        <is>
          <t>T-3 net operating income (annualized)</t>
        </is>
      </c>
      <c r="B36" s="7" t="n">
        <v>4153374.92</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1456.99</v>
      </c>
      <c r="D40" s="6" t="inlineStr">
        <is>
          <t>Sample Property RR 8.4.26.xlsx (derived)</t>
        </is>
      </c>
    </row>
    <row r="41">
      <c r="A41" s="5" t="inlineStr">
        <is>
          <t>Market rent for model</t>
        </is>
      </c>
      <c r="B41" s="7" t="n">
        <v>1344.6</v>
      </c>
      <c r="C41" s="6" t="inlineStr">
        <is>
          <t>New-lease average where the plan has new leases in the lookback window, otherwise in-place. Never a blend of new and renewal.</t>
        </is>
      </c>
      <c r="D41" s="6" t="inlineStr">
        <is>
          <t>Sample Property RR 8.4.26.xlsx (derived)</t>
        </is>
      </c>
    </row>
    <row r="42">
      <c r="A42" s="5" t="inlineStr">
        <is>
          <t>Fair market value</t>
        </is>
      </c>
      <c r="B42" s="5" t="inlineStr">
        <is>
          <t>Internal pipeline only</t>
        </is>
      </c>
      <c r="C42" s="6" t="inlineStr">
        <is>
          <t>The internal pipeline pulls a market value by web lookup; the demo does not reach the web.</t>
        </is>
      </c>
      <c r="D42" s="6" t="inlineStr">
        <is>
          <t>Internal pipeline only</t>
        </is>
      </c>
    </row>
    <row r="44">
      <c r="A44" s="4" t="inlineStr">
        <is>
          <t>Taxes</t>
        </is>
      </c>
      <c r="B44" s="4" t="n"/>
      <c r="C44" s="4" t="n"/>
    </row>
    <row r="45">
      <c r="A45" s="5" t="inlineStr">
        <is>
          <t>Tax rate as billed</t>
        </is>
      </c>
      <c r="B45" s="10" t="n">
        <v>10.2573</v>
      </c>
      <c r="C45" s="6" t="inlineStr">
        <is>
          <t>Rate as actually billed — not a statutory or effective rate.</t>
        </is>
      </c>
      <c r="D45" s="6" t="inlineStr">
        <is>
          <t>Vendored county rate table — property_tax_table.COUNTY_RATES[('AZ', 'maricopa')]</t>
        </is>
      </c>
    </row>
    <row r="46">
      <c r="A46" s="5" t="inlineStr">
        <is>
          <t>Assessed value basis</t>
        </is>
      </c>
      <c r="B46" s="5" t="inlineStr">
        <is>
          <t>Internal pipeline only</t>
        </is>
      </c>
      <c r="C46" s="6" t="inlineStr">
        <is>
          <t>See parcel: read off the county assessor's portal by the internal pipeline only.</t>
        </is>
      </c>
      <c r="D46" s="6" t="inlineStr">
        <is>
          <t>Internal pipeline only</t>
        </is>
      </c>
    </row>
    <row r="47">
      <c r="A47" s="5" t="inlineStr">
        <is>
          <t>Assessment ratio</t>
        </is>
      </c>
      <c r="B47" s="11" t="n">
        <v>0.1</v>
      </c>
      <c r="D47" s="6" t="inlineStr">
        <is>
          <t>Vendored county rate table — property_tax_table.STATE_RULES['AZ']</t>
        </is>
      </c>
    </row>
    <row r="48">
      <c r="A48" s="5" t="inlineStr">
        <is>
          <t>Tax divisor</t>
        </is>
      </c>
      <c r="B48" s="7" t="n">
        <v>100</v>
      </c>
      <c r="D48" s="6" t="inlineStr">
        <is>
          <t>Vendored county rate table — property_tax_table.STATE_RULES['AZ']</t>
        </is>
      </c>
    </row>
    <row r="49">
      <c r="A49" s="5" t="inlineStr">
        <is>
          <t>Tax exemption</t>
        </is>
      </c>
      <c r="B49" s="5" t="inlineStr">
        <is>
          <t>Internal pipeline only</t>
        </is>
      </c>
      <c r="C49" s="6" t="inlineStr">
        <is>
          <t>See parcel: read off the county assessor's portal by the internal pipeline only.</t>
        </is>
      </c>
      <c r="D49" s="6" t="inlineStr">
        <is>
          <t>Internal pipeline only</t>
        </is>
      </c>
    </row>
    <row r="50">
      <c r="A50" s="5" t="inlineStr">
        <is>
          <t>Parcel / APN</t>
        </is>
      </c>
      <c r="B50" s="5" t="inlineStr">
        <is>
          <t>301-04-002K</t>
        </is>
      </c>
      <c r="C50" s="6" t="inlineStr">
        <is>
          <t>As stated in the offering memorandum, not a county record.</t>
        </is>
      </c>
    </row>
    <row r="51">
      <c r="A51" s="5" t="inlineStr">
        <is>
          <t>Tax area code</t>
        </is>
      </c>
      <c r="B51" s="5" t="inlineStr">
        <is>
          <t>MISSING</t>
        </is>
      </c>
      <c r="C51" s="6" t="inlineStr">
        <is>
          <t>Determines which published rate row applies.</t>
        </is>
      </c>
    </row>
    <row r="52">
      <c r="A52" s="5" t="inlineStr">
        <is>
          <t>Basis label</t>
        </is>
      </c>
      <c r="B52" s="5" t="inlineStr">
        <is>
          <t>Limited property value (LPV), per the county assessor</t>
        </is>
      </c>
      <c r="C52" s="6" t="inlineStr">
        <is>
          <t>Arizona taxes the limited property value, not the price. Under Proposition 117 (Ariz. Const. art. IX sec. 18; A.R.S. sec. 42-13301) the LPV rises at most 5% a year and does not reset on sale, so a buyer inherits the seller's basis and tax priced off the purchase price overstates the bill — roughly threefold on the showcase parcel. With no assessor value on file, no year-one estimate is asserted. The rate table's 'approx residential primary' column is the class-3 owner-occupied rebate (A.R.S. sec. 15-972) and does not apply to a rental; the full primary plus secondary rate is the one billed.</t>
        </is>
      </c>
    </row>
    <row r="53">
      <c r="A53" s="5" t="inlineStr">
        <is>
          <t>Computed annual tax</t>
        </is>
      </c>
      <c r="B53" s="7">
        <f>IFERROR(B46*B47/B48*B45-B49,"MISSING")</f>
        <v/>
      </c>
      <c r="C53"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54">
      <c r="A54" s="5" t="inlineStr">
        <is>
          <t>Computed tax per unit</t>
        </is>
      </c>
      <c r="B54" s="7">
        <f>IFERROR(B53/B18,"MISSING")</f>
        <v/>
      </c>
    </row>
    <row r="55">
      <c r="A55" s="5" t="inlineStr">
        <is>
          <t>Tax bill as stated in the offering memorandum (2025)</t>
        </is>
      </c>
      <c r="B55" s="7" t="n">
        <v>249122</v>
      </c>
      <c r="C55" s="6" t="inlineStr">
        <is>
          <t>The seller's figure, not verified against the county;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Ariz. Const. art. IX, sec. 24 (Prop 100, 2008) · The constitution bars any NEW transfer tax imposed after 2007-12-31; it does not repeal pre-existing ones, and Arizona had none ad valorem. A flat $2 deed fee (A.R.S. 11-1132(A)) and a $30-per-instrument recording fee (A.R.S. 11-475(A)(1)) still apply and are not percentage-based.</t>
        </is>
      </c>
    </row>
    <row r="61">
      <c r="A61" s="5" t="inlineStr">
        <is>
          <t>Mortgage / recording tax</t>
        </is>
      </c>
      <c r="B61" s="7" t="n">
        <v>0</v>
      </c>
      <c r="C61" s="6" t="inlineStr">
        <is>
          <t>No mortgage or recording tax on the security instrument · Ariz. Const. art. IX, sec. 24; A.R.S. 11-475(A)(1) · Recording is a flat per-instrument fee, not a tax on the amount borrowed.</t>
        </is>
      </c>
    </row>
    <row r="62">
      <c r="A62" s="5" t="inlineStr">
        <is>
          <t>Closing-cost basis</t>
        </is>
      </c>
      <c r="B62" s="7" t="n">
        <v>71810000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Internal pipeline only</t>
        </is>
      </c>
      <c r="C65" s="6" t="inlineStr">
        <is>
          <t>The internal pipeline looks up the attendance-zone elementary, middle and high school and their public ratings; the demo reads a school name only where the memorandum states one and never rates it.</t>
        </is>
      </c>
      <c r="D65" s="6" t="inlineStr">
        <is>
          <t>Internal pipeline only</t>
        </is>
      </c>
    </row>
    <row r="66">
      <c r="A66" s="5" t="inlineStr">
        <is>
          <t>Elementary rating</t>
        </is>
      </c>
      <c r="B66" s="5" t="inlineStr">
        <is>
          <t>Internal pipeline only</t>
        </is>
      </c>
      <c r="C66" s="6" t="inlineStr">
        <is>
          <t>The internal pipeline looks up the attendance-zone elementary, middle and high school and their public ratings; the demo reads a school name only where the memorandum states one and never rates it.</t>
        </is>
      </c>
    </row>
    <row r="67">
      <c r="A67" s="5" t="inlineStr">
        <is>
          <t>Middle school</t>
        </is>
      </c>
      <c r="B67" s="5" t="inlineStr">
        <is>
          <t>Internal pipeline only</t>
        </is>
      </c>
      <c r="C67" s="6" t="inlineStr">
        <is>
          <t>The internal pipeline looks up the attendance-zone elementary, middle and high school and their public ratings; the demo reads a school name only where the memorandum states one and never rates it.</t>
        </is>
      </c>
      <c r="D67" s="6" t="inlineStr">
        <is>
          <t>Internal pipeline only</t>
        </is>
      </c>
    </row>
    <row r="68">
      <c r="A68" s="5" t="inlineStr">
        <is>
          <t>Middle rating</t>
        </is>
      </c>
      <c r="B68" s="5" t="inlineStr">
        <is>
          <t>Internal pipeline only</t>
        </is>
      </c>
      <c r="C68" s="6" t="inlineStr">
        <is>
          <t>The internal pipeline looks up the attendance-zone elementary, middle and high school and their public ratings; the demo reads a school name only where the memorandum states one and never rates it.</t>
        </is>
      </c>
    </row>
    <row r="69">
      <c r="A69" s="5" t="inlineStr">
        <is>
          <t>High school</t>
        </is>
      </c>
      <c r="B69" s="5" t="inlineStr">
        <is>
          <t>Internal pipeline only</t>
        </is>
      </c>
      <c r="C69" s="6" t="inlineStr">
        <is>
          <t>The internal pipeline looks up the attendance-zone elementary, middle and high school and their public ratings; the demo reads a school name only where the memorandum states one and never rates it.</t>
        </is>
      </c>
      <c r="D69" s="6" t="inlineStr">
        <is>
          <t>Internal pipeline only</t>
        </is>
      </c>
    </row>
    <row r="70">
      <c r="A70" s="5" t="inlineStr">
        <is>
          <t>High rating</t>
        </is>
      </c>
      <c r="B70" s="5" t="inlineStr">
        <is>
          <t>Internal pipeline only</t>
        </is>
      </c>
      <c r="C70" s="6" t="inlineStr">
        <is>
          <t>The internal pipeline looks up the attendance-zone elementary, middle and high school and their public ratings; the demo reads a school name only where the memorandum states one and never rates it.</t>
        </is>
      </c>
    </row>
    <row r="72">
      <c r="A72" s="4" t="inlineStr">
        <is>
          <t>Notes</t>
        </is>
      </c>
      <c r="B72" s="4" t="n"/>
      <c r="C72" s="4" t="n"/>
    </row>
    <row r="73">
      <c r="A73" s="5" t="inlineStr">
        <is>
          <t>Notes</t>
        </is>
      </c>
      <c r="B73" s="5" t="inlineStr">
        <is>
          <t>This sample is a real, previously marketed multifamily asset's statements, perturbed: trailing-twelve income lines are 10% higher and expense lines 5% lower than the originals, rent-roll rents are 5% higher and lease dates one month earlier, and the pricing is illustrative. The property facts — unit mix, vintage, size — are the real ones. The ADDRESS is illustrative: 2151 E Southern Ave, Mesa, AZ 85204 is not the asset's location, and the demand, supply, rent-comp and property-tax tabs were pulled for this illustrative address from the same sources a live upload reads. The asset's name, its seller and its brokerage are withheld.</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County assessor portals, school-rating and web-valuation lookups, and the lease trade-out report — internal pipeline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02"/>
  <sheetViews>
    <sheetView workbookViewId="0">
      <pane ySplit="5" topLeftCell="A6" activePane="bottomLeft" state="frozen"/>
      <selection pane="bottomLeft" activeCell="A1" sqref="A1"/>
    </sheetView>
  </sheetViews>
  <sheetFormatPr baseColWidth="8" defaultRowHeight="15"/>
  <cols>
    <col width="30" customWidth="1" min="1" max="1"/>
    <col width="42" customWidth="1" min="2" max="2"/>
    <col width="42" customWidth="1" min="3" max="3"/>
    <col width="42" customWidth="1" min="4" max="4"/>
    <col width="22"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Southern Avenue Sample — as of 2026-09-03</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+/-10 years of the subject's year built.</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Saltera Apartments</t>
        </is>
      </c>
      <c r="B8" s="10" t="n">
        <v>0.13</v>
      </c>
      <c r="C8" s="8" t="n">
        <v>1984</v>
      </c>
      <c r="D8" s="5" t="inlineStr">
        <is>
          <t>1BR — group floor (lowest listing); the lowest-five measure was not provided</t>
        </is>
      </c>
      <c r="E8" s="15" t="n">
        <v>1</v>
      </c>
      <c r="F8" s="12" t="n"/>
      <c r="G8" s="7" t="n">
        <v>688</v>
      </c>
      <c r="H8" s="7" t="n">
        <v>1047</v>
      </c>
      <c r="I8" s="7" t="n">
        <v>0</v>
      </c>
      <c r="J8" s="7" t="n">
        <v>1047</v>
      </c>
      <c r="K8" s="16">
        <f>IFERROR(H8/G8,"")</f>
        <v/>
      </c>
      <c r="L8" s="12" t="n"/>
      <c r="M8" s="17" t="n">
        <v>46268</v>
      </c>
      <c r="N8" s="5" t="inlineStr">
        <is>
          <t>own weekly scrape</t>
        </is>
      </c>
    </row>
    <row r="9">
      <c r="A9" s="5" t="inlineStr">
        <is>
          <t>The Hamptons</t>
        </is>
      </c>
      <c r="B9" s="10" t="n">
        <v>0.32</v>
      </c>
      <c r="C9" s="8" t="n">
        <v>1981</v>
      </c>
      <c r="D9" s="5" t="inlineStr">
        <is>
          <t>1BR — group floor (lowest listing); the lowest-five measure was not provided</t>
        </is>
      </c>
      <c r="E9" s="15" t="n">
        <v>1</v>
      </c>
      <c r="F9" s="12" t="n"/>
      <c r="G9" s="7" t="n">
        <v>625</v>
      </c>
      <c r="H9" s="7" t="n">
        <v>978</v>
      </c>
      <c r="I9" s="7" t="n">
        <v>0</v>
      </c>
      <c r="J9" s="7" t="n">
        <v>978</v>
      </c>
      <c r="K9" s="16">
        <f>IFERROR(H9/G9,"")</f>
        <v/>
      </c>
      <c r="L9" s="12" t="n"/>
      <c r="M9" s="17" t="n">
        <v>46267</v>
      </c>
      <c r="N9" s="5" t="inlineStr">
        <is>
          <t>own weekly scrape</t>
        </is>
      </c>
    </row>
    <row r="10">
      <c r="A10" s="5" t="inlineStr">
        <is>
          <t>The Hamptons</t>
        </is>
      </c>
      <c r="B10" s="10" t="n">
        <v>0.32</v>
      </c>
      <c r="C10" s="8" t="n">
        <v>1981</v>
      </c>
      <c r="D10" s="5" t="inlineStr">
        <is>
          <t>2BR — group floor (lowest listing); the lowest-five measure was not provided</t>
        </is>
      </c>
      <c r="E10" s="15" t="n">
        <v>2</v>
      </c>
      <c r="F10" s="12" t="n"/>
      <c r="G10" s="7" t="n">
        <v>725</v>
      </c>
      <c r="H10" s="7" t="n">
        <v>1306</v>
      </c>
      <c r="I10" s="7" t="n">
        <v>0</v>
      </c>
      <c r="J10" s="7" t="n">
        <v>1306</v>
      </c>
      <c r="K10" s="16">
        <f>IFERROR(H10/G10,"")</f>
        <v/>
      </c>
      <c r="L10" s="12" t="n"/>
      <c r="M10" s="17" t="n">
        <v>46267</v>
      </c>
      <c r="N10" s="5" t="inlineStr">
        <is>
          <t>own weekly scrape</t>
        </is>
      </c>
    </row>
    <row r="11">
      <c r="A11" s="5" t="inlineStr">
        <is>
          <t>Cielo on Gilbert</t>
        </is>
      </c>
      <c r="B11" s="10" t="n">
        <v>0.7</v>
      </c>
      <c r="C11" s="8" t="n">
        <v>1985</v>
      </c>
      <c r="D11" s="5" t="inlineStr">
        <is>
          <t>1BR — group floor (lowest listing); the lowest-five measure was not provided</t>
        </is>
      </c>
      <c r="E11" s="15" t="n">
        <v>1</v>
      </c>
      <c r="F11" s="12" t="n"/>
      <c r="G11" s="7" t="n">
        <v>579</v>
      </c>
      <c r="H11" s="7" t="n">
        <v>1201</v>
      </c>
      <c r="I11" s="7" t="n">
        <v>139</v>
      </c>
      <c r="J11" s="7" t="n">
        <v>1062</v>
      </c>
      <c r="K11" s="16">
        <f>IFERROR(H11/G11,"")</f>
        <v/>
      </c>
      <c r="L11" s="12" t="n"/>
      <c r="M11" s="17" t="n">
        <v>46268</v>
      </c>
      <c r="N11" s="5" t="inlineStr">
        <is>
          <t>own weekly scrape</t>
        </is>
      </c>
    </row>
    <row r="12">
      <c r="A12" s="5" t="inlineStr">
        <is>
          <t>The Vance</t>
        </is>
      </c>
      <c r="B12" s="10" t="n">
        <v>0.92</v>
      </c>
      <c r="C12" s="8" t="n">
        <v>1987</v>
      </c>
      <c r="D12" s="5" t="inlineStr">
        <is>
          <t>1BR — group floor (lowest listing); the lowest-five measure was not provided</t>
        </is>
      </c>
      <c r="E12" s="15" t="n">
        <v>1</v>
      </c>
      <c r="F12" s="12" t="n"/>
      <c r="G12" s="7" t="n">
        <v>658</v>
      </c>
      <c r="H12" s="7" t="n">
        <v>1044</v>
      </c>
      <c r="I12" s="7" t="n">
        <v>0</v>
      </c>
      <c r="J12" s="7" t="n">
        <v>1044</v>
      </c>
      <c r="K12" s="16">
        <f>IFERROR(H12/G12,"")</f>
        <v/>
      </c>
      <c r="L12" s="12" t="n"/>
      <c r="M12" s="17" t="n">
        <v>46267</v>
      </c>
      <c r="N12" s="5" t="inlineStr">
        <is>
          <t>own weekly scrape</t>
        </is>
      </c>
    </row>
    <row r="13">
      <c r="A13" s="5" t="inlineStr">
        <is>
          <t>Gilbert Greens Apartments</t>
        </is>
      </c>
      <c r="B13" s="10" t="n">
        <v>1.63</v>
      </c>
      <c r="C13" s="8" t="n">
        <v>1985</v>
      </c>
      <c r="D13" s="5" t="inlineStr">
        <is>
          <t>1BR — group floor (lowest listing); the lowest-five measure was not provided</t>
        </is>
      </c>
      <c r="E13" s="15" t="n">
        <v>1</v>
      </c>
      <c r="F13" s="12" t="n"/>
      <c r="G13" s="7" t="n">
        <v>605</v>
      </c>
      <c r="H13" s="7" t="n">
        <v>1250</v>
      </c>
      <c r="I13" s="7" t="n">
        <v>48</v>
      </c>
      <c r="J13" s="7" t="n">
        <v>1202</v>
      </c>
      <c r="K13" s="16">
        <f>IFERROR(H13/G13,"")</f>
        <v/>
      </c>
      <c r="L13" s="12" t="n"/>
      <c r="M13" s="17" t="n">
        <v>46267</v>
      </c>
      <c r="N13" s="5" t="inlineStr">
        <is>
          <t>own weekly scrape</t>
        </is>
      </c>
    </row>
    <row r="14">
      <c r="A14" s="5" t="inlineStr">
        <is>
          <t>Gilbert Greens Apartments</t>
        </is>
      </c>
      <c r="B14" s="10" t="n">
        <v>1.63</v>
      </c>
      <c r="C14" s="8" t="n">
        <v>1985</v>
      </c>
      <c r="D14" s="5" t="inlineStr">
        <is>
          <t>2BR — group floor (lowest listing); the lowest-five measure was not provided</t>
        </is>
      </c>
      <c r="E14" s="15" t="n">
        <v>2</v>
      </c>
      <c r="F14" s="12" t="n"/>
      <c r="G14" s="7" t="n">
        <v>808</v>
      </c>
      <c r="H14" s="7" t="n">
        <v>1425</v>
      </c>
      <c r="I14" s="7" t="n">
        <v>55</v>
      </c>
      <c r="J14" s="7" t="n">
        <v>1370</v>
      </c>
      <c r="K14" s="16">
        <f>IFERROR(H14/G14,"")</f>
        <v/>
      </c>
      <c r="L14" s="12" t="n"/>
      <c r="M14" s="17" t="n">
        <v>46267</v>
      </c>
      <c r="N14" s="5" t="inlineStr">
        <is>
          <t>own weekly scrape</t>
        </is>
      </c>
    </row>
    <row r="15"/>
    <row r="16">
      <c r="A16" s="4" t="inlineStr">
        <is>
          <t>Tier 2 — Additional comps: the next 5 communities matching the subject's product and vintage</t>
        </is>
      </c>
      <c r="B16" s="4" t="n"/>
      <c r="C16" s="4" t="n"/>
      <c r="D16" s="4" t="n"/>
      <c r="E16" s="4" t="n"/>
      <c r="F16" s="4" t="n"/>
    </row>
    <row r="17">
      <c r="A17" s="14" t="inlineStr">
        <is>
          <t>Community</t>
        </is>
      </c>
      <c r="B17" s="14" t="inlineStr">
        <is>
          <t>Distance (mi)</t>
        </is>
      </c>
      <c r="C17" s="14" t="inlineStr">
        <is>
          <t>Year built</t>
        </is>
      </c>
      <c r="D17" s="14" t="inlineStr">
        <is>
          <t>Floor plan</t>
        </is>
      </c>
      <c r="E17" s="14" t="inlineStr">
        <is>
          <t>Beds</t>
        </is>
      </c>
      <c r="F17" s="14" t="inlineStr">
        <is>
          <t>Baths</t>
        </is>
      </c>
      <c r="G17" s="14" t="inlineStr">
        <is>
          <t>SF</t>
        </is>
      </c>
      <c r="H17" s="14" t="inlineStr">
        <is>
          <t>Asking rent</t>
        </is>
      </c>
      <c r="I17" s="14" t="inlineStr">
        <is>
          <t>Concession</t>
        </is>
      </c>
      <c r="J17" s="14" t="inlineStr">
        <is>
          <t>Net effective rent</t>
        </is>
      </c>
      <c r="K17" s="14" t="inlineStr">
        <is>
          <t>Asking $/SF</t>
        </is>
      </c>
      <c r="L17" s="14" t="inlineStr">
        <is>
          <t>Occupancy</t>
        </is>
      </c>
      <c r="M17" s="14" t="inlineStr">
        <is>
          <t>As-of date</t>
        </is>
      </c>
      <c r="N17" s="14" t="inlineStr">
        <is>
          <t>Source</t>
        </is>
      </c>
    </row>
    <row r="18">
      <c r="A18" s="5" t="inlineStr">
        <is>
          <t>Mesa Station</t>
        </is>
      </c>
      <c r="B18" s="10" t="n">
        <v>1.63</v>
      </c>
      <c r="C18" s="8" t="n">
        <v>1984</v>
      </c>
      <c r="D18" s="5" t="inlineStr">
        <is>
          <t>1BR — group floor (lowest listing); the lowest-five measure was not provided</t>
        </is>
      </c>
      <c r="E18" s="15" t="n">
        <v>1</v>
      </c>
      <c r="F18" s="12" t="n"/>
      <c r="G18" s="7" t="n">
        <v>570</v>
      </c>
      <c r="H18" s="7" t="n">
        <v>908</v>
      </c>
      <c r="I18" s="7" t="n">
        <v>70</v>
      </c>
      <c r="J18" s="7" t="n">
        <v>838</v>
      </c>
      <c r="K18" s="16">
        <f>IFERROR(H18/G18,"")</f>
        <v/>
      </c>
      <c r="L18" s="12" t="n"/>
      <c r="M18" s="17" t="n">
        <v>46267</v>
      </c>
      <c r="N18" s="5" t="inlineStr">
        <is>
          <t>own weekly scrape</t>
        </is>
      </c>
    </row>
    <row r="19">
      <c r="A19" s="5" t="inlineStr">
        <is>
          <t>Mesa Station</t>
        </is>
      </c>
      <c r="B19" s="10" t="n">
        <v>1.63</v>
      </c>
      <c r="C19" s="8" t="n">
        <v>1984</v>
      </c>
      <c r="D19" s="5" t="inlineStr">
        <is>
          <t>2BR — group floor (lowest listing); the lowest-five measure was not provided</t>
        </is>
      </c>
      <c r="E19" s="15" t="n">
        <v>2</v>
      </c>
      <c r="F19" s="12" t="n"/>
      <c r="G19" s="7" t="n">
        <v>686</v>
      </c>
      <c r="H19" s="7" t="n">
        <v>1000</v>
      </c>
      <c r="I19" s="7" t="n">
        <v>77</v>
      </c>
      <c r="J19" s="7" t="n">
        <v>923</v>
      </c>
      <c r="K19" s="16">
        <f>IFERROR(H19/G19,"")</f>
        <v/>
      </c>
      <c r="L19" s="12" t="n"/>
      <c r="M19" s="17" t="n">
        <v>46267</v>
      </c>
      <c r="N19" s="5" t="inlineStr">
        <is>
          <t>own weekly scrape</t>
        </is>
      </c>
    </row>
    <row r="20">
      <c r="A20" s="5" t="inlineStr">
        <is>
          <t>Mesa Station</t>
        </is>
      </c>
      <c r="B20" s="10" t="n">
        <v>1.63</v>
      </c>
      <c r="C20" s="8" t="n">
        <v>1984</v>
      </c>
      <c r="D20" s="5" t="inlineStr">
        <is>
          <t>2BR — group floor (lowest listing); the lowest-five measure was not provided</t>
        </is>
      </c>
      <c r="E20" s="15" t="n">
        <v>2</v>
      </c>
      <c r="F20" s="12" t="n"/>
      <c r="G20" s="7" t="n">
        <v>771</v>
      </c>
      <c r="H20" s="7" t="n">
        <v>1186</v>
      </c>
      <c r="I20" s="7" t="n">
        <v>91</v>
      </c>
      <c r="J20" s="7" t="n">
        <v>1095</v>
      </c>
      <c r="K20" s="16">
        <f>IFERROR(H20/G20,"")</f>
        <v/>
      </c>
      <c r="L20" s="12" t="n"/>
      <c r="M20" s="17" t="n">
        <v>46267</v>
      </c>
      <c r="N20" s="5" t="inlineStr">
        <is>
          <t>own weekly scrape</t>
        </is>
      </c>
    </row>
    <row r="21">
      <c r="A21" s="5" t="inlineStr">
        <is>
          <t>Dana Park Apartments</t>
        </is>
      </c>
      <c r="B21" s="10" t="n">
        <v>1.72</v>
      </c>
      <c r="C21" s="8" t="n">
        <v>1986</v>
      </c>
      <c r="D21" s="5" t="inlineStr">
        <is>
          <t>1BR — group floor (lowest listing); the lowest-five measure was not provided</t>
        </is>
      </c>
      <c r="E21" s="15" t="n">
        <v>1</v>
      </c>
      <c r="F21" s="12" t="n"/>
      <c r="G21" s="7" t="n">
        <v>722</v>
      </c>
      <c r="H21" s="7" t="n">
        <v>1245</v>
      </c>
      <c r="I21" s="7" t="n">
        <v>239</v>
      </c>
      <c r="J21" s="7" t="n">
        <v>1006</v>
      </c>
      <c r="K21" s="16">
        <f>IFERROR(H21/G21,"")</f>
        <v/>
      </c>
      <c r="L21" s="12" t="n"/>
      <c r="M21" s="17" t="n">
        <v>46268</v>
      </c>
      <c r="N21" s="5" t="inlineStr">
        <is>
          <t>own weekly scrape</t>
        </is>
      </c>
    </row>
    <row r="22">
      <c r="A22" s="5" t="inlineStr">
        <is>
          <t>Dana Park Apartments</t>
        </is>
      </c>
      <c r="B22" s="10" t="n">
        <v>1.72</v>
      </c>
      <c r="C22" s="8" t="n">
        <v>1986</v>
      </c>
      <c r="D22" s="5" t="inlineStr">
        <is>
          <t>2BR — group floor (lowest listing); the lowest-five measure was not provided</t>
        </is>
      </c>
      <c r="E22" s="15" t="n">
        <v>2</v>
      </c>
      <c r="F22" s="12" t="n"/>
      <c r="G22" s="7" t="n">
        <v>1025</v>
      </c>
      <c r="H22" s="7" t="n">
        <v>1499</v>
      </c>
      <c r="I22" s="7" t="n">
        <v>288</v>
      </c>
      <c r="J22" s="7" t="n">
        <v>1211</v>
      </c>
      <c r="K22" s="16">
        <f>IFERROR(H22/G22,"")</f>
        <v/>
      </c>
      <c r="L22" s="12" t="n"/>
      <c r="M22" s="17" t="n">
        <v>46268</v>
      </c>
      <c r="N22" s="5" t="inlineStr">
        <is>
          <t>own weekly scrape</t>
        </is>
      </c>
    </row>
    <row r="23">
      <c r="A23" s="5" t="inlineStr">
        <is>
          <t>Dana Park Apartments</t>
        </is>
      </c>
      <c r="B23" s="10" t="n">
        <v>1.72</v>
      </c>
      <c r="C23" s="8" t="n">
        <v>1986</v>
      </c>
      <c r="D23" s="5" t="inlineStr">
        <is>
          <t>2BR — group floor (lowest listing); the lowest-five measure was not provided</t>
        </is>
      </c>
      <c r="E23" s="15" t="n">
        <v>2</v>
      </c>
      <c r="F23" s="12" t="n"/>
      <c r="G23" s="7" t="n">
        <v>1067</v>
      </c>
      <c r="H23" s="7" t="n">
        <v>1645</v>
      </c>
      <c r="I23" s="7" t="n">
        <v>316</v>
      </c>
      <c r="J23" s="7" t="n">
        <v>1329</v>
      </c>
      <c r="K23" s="16">
        <f>IFERROR(H23/G23,"")</f>
        <v/>
      </c>
      <c r="L23" s="12" t="n"/>
      <c r="M23" s="17" t="n">
        <v>46268</v>
      </c>
      <c r="N23" s="5" t="inlineStr">
        <is>
          <t>own weekly scrape</t>
        </is>
      </c>
    </row>
    <row r="24">
      <c r="A24" s="5" t="inlineStr">
        <is>
          <t>Astero Mesa East</t>
        </is>
      </c>
      <c r="B24" s="10" t="n">
        <v>1.8</v>
      </c>
      <c r="C24" s="8" t="n">
        <v>1987</v>
      </c>
      <c r="D24" s="5" t="inlineStr">
        <is>
          <t>1BR — group floor (lowest listing); the lowest-five measure was not provided</t>
        </is>
      </c>
      <c r="E24" s="15" t="n">
        <v>1</v>
      </c>
      <c r="F24" s="12" t="n"/>
      <c r="G24" s="7" t="n">
        <v>700</v>
      </c>
      <c r="H24" s="7" t="n">
        <v>1249</v>
      </c>
      <c r="I24" s="7" t="n">
        <v>0</v>
      </c>
      <c r="J24" s="7" t="n">
        <v>1249</v>
      </c>
      <c r="K24" s="16">
        <f>IFERROR(H24/G24,"")</f>
        <v/>
      </c>
      <c r="L24" s="12" t="n"/>
      <c r="M24" s="17" t="n">
        <v>46267</v>
      </c>
      <c r="N24" s="5" t="inlineStr">
        <is>
          <t>own weekly scrape</t>
        </is>
      </c>
    </row>
    <row r="25">
      <c r="A25" s="5" t="inlineStr">
        <is>
          <t>Astero Mesa East</t>
        </is>
      </c>
      <c r="B25" s="10" t="n">
        <v>1.8</v>
      </c>
      <c r="C25" s="8" t="n">
        <v>1987</v>
      </c>
      <c r="D25" s="5" t="inlineStr">
        <is>
          <t>2BR — group floor (lowest listing); the lowest-five measure was not provided</t>
        </is>
      </c>
      <c r="E25" s="15" t="n">
        <v>2</v>
      </c>
      <c r="F25" s="12" t="n"/>
      <c r="G25" s="7" t="n">
        <v>900</v>
      </c>
      <c r="H25" s="7" t="n">
        <v>1449</v>
      </c>
      <c r="I25" s="7" t="n">
        <v>0</v>
      </c>
      <c r="J25" s="7" t="n">
        <v>1449</v>
      </c>
      <c r="K25" s="16">
        <f>IFERROR(H25/G25,"")</f>
        <v/>
      </c>
      <c r="L25" s="12" t="n"/>
      <c r="M25" s="17" t="n">
        <v>46267</v>
      </c>
      <c r="N25" s="5" t="inlineStr">
        <is>
          <t>own weekly scrape</t>
        </is>
      </c>
    </row>
    <row r="26">
      <c r="A26" s="5" t="inlineStr">
        <is>
          <t>Astero Mesa East</t>
        </is>
      </c>
      <c r="B26" s="10" t="n">
        <v>1.8</v>
      </c>
      <c r="C26" s="8" t="n">
        <v>1987</v>
      </c>
      <c r="D26" s="5" t="inlineStr">
        <is>
          <t>2BR — group floor (lowest listing); the lowest-five measure was not provided</t>
        </is>
      </c>
      <c r="E26" s="15" t="n">
        <v>2</v>
      </c>
      <c r="F26" s="12" t="n"/>
      <c r="G26" s="7" t="n">
        <v>1044</v>
      </c>
      <c r="H26" s="7" t="n">
        <v>1499</v>
      </c>
      <c r="I26" s="7" t="n">
        <v>0</v>
      </c>
      <c r="J26" s="7" t="n">
        <v>1499</v>
      </c>
      <c r="K26" s="16">
        <f>IFERROR(H26/G26,"")</f>
        <v/>
      </c>
      <c r="L26" s="12" t="n"/>
      <c r="M26" s="17" t="n">
        <v>46267</v>
      </c>
      <c r="N26" s="5" t="inlineStr">
        <is>
          <t>own weekly scrape</t>
        </is>
      </c>
    </row>
    <row r="27">
      <c r="A27" s="5" t="inlineStr">
        <is>
          <t>Astero Mesa West</t>
        </is>
      </c>
      <c r="B27" s="10" t="n">
        <v>1.81</v>
      </c>
      <c r="C27" s="8" t="n">
        <v>1986</v>
      </c>
      <c r="D27" s="5" t="inlineStr">
        <is>
          <t>1BR — group floor (lowest listing); the lowest-five measure was not provided</t>
        </is>
      </c>
      <c r="E27" s="15" t="n">
        <v>1</v>
      </c>
      <c r="F27" s="12" t="n"/>
      <c r="G27" s="7" t="n">
        <v>576</v>
      </c>
      <c r="H27" s="7" t="n">
        <v>1049</v>
      </c>
      <c r="I27" s="7" t="n">
        <v>0</v>
      </c>
      <c r="J27" s="7" t="n">
        <v>1049</v>
      </c>
      <c r="K27" s="16">
        <f>IFERROR(H27/G27,"")</f>
        <v/>
      </c>
      <c r="L27" s="12" t="n"/>
      <c r="M27" s="17" t="n">
        <v>46268</v>
      </c>
      <c r="N27" s="5" t="inlineStr">
        <is>
          <t>own weekly scrape</t>
        </is>
      </c>
    </row>
    <row r="28">
      <c r="A28" s="5" t="inlineStr">
        <is>
          <t>Astero Mesa West</t>
        </is>
      </c>
      <c r="B28" s="10" t="n">
        <v>1.81</v>
      </c>
      <c r="C28" s="8" t="n">
        <v>1986</v>
      </c>
      <c r="D28" s="5" t="inlineStr">
        <is>
          <t>2BR — group floor (lowest listing); the lowest-five measure was not provided</t>
        </is>
      </c>
      <c r="E28" s="15" t="n">
        <v>2</v>
      </c>
      <c r="F28" s="12" t="n"/>
      <c r="G28" s="7" t="n">
        <v>1035</v>
      </c>
      <c r="H28" s="7" t="n">
        <v>1349</v>
      </c>
      <c r="I28" s="7" t="n">
        <v>0</v>
      </c>
      <c r="J28" s="7" t="n">
        <v>1349</v>
      </c>
      <c r="K28" s="16">
        <f>IFERROR(H28/G28,"")</f>
        <v/>
      </c>
      <c r="L28" s="12" t="n"/>
      <c r="M28" s="17" t="n">
        <v>46268</v>
      </c>
      <c r="N28" s="5" t="inlineStr">
        <is>
          <t>own weekly scrape</t>
        </is>
      </c>
    </row>
    <row r="29">
      <c r="A29" s="5" t="inlineStr">
        <is>
          <t>Gentrys Walk Apartments</t>
        </is>
      </c>
      <c r="B29" s="10" t="n">
        <v>1.87</v>
      </c>
      <c r="C29" s="8" t="n">
        <v>1986</v>
      </c>
      <c r="D29" s="5" t="inlineStr">
        <is>
          <t>1BR — group floor (lowest listing); the lowest-five measure was not provided</t>
        </is>
      </c>
      <c r="E29" s="15" t="n">
        <v>1</v>
      </c>
      <c r="F29" s="12" t="n"/>
      <c r="G29" s="7" t="n">
        <v>500</v>
      </c>
      <c r="H29" s="7" t="n">
        <v>1212</v>
      </c>
      <c r="I29" s="7" t="n">
        <v>0</v>
      </c>
      <c r="J29" s="7" t="n">
        <v>1212</v>
      </c>
      <c r="K29" s="16">
        <f>IFERROR(H29/G29,"")</f>
        <v/>
      </c>
      <c r="L29" s="12" t="n"/>
      <c r="M29" s="17" t="n">
        <v>46268</v>
      </c>
      <c r="N29" s="5" t="inlineStr">
        <is>
          <t>own weekly scrape</t>
        </is>
      </c>
    </row>
    <row r="30"/>
    <row r="31">
      <c r="A31" s="4" t="inlineStr">
        <is>
          <t>Tier 3 — Also nearby: 340 tracked communities inside the radius that are not comps, and why</t>
        </is>
      </c>
      <c r="B31" s="4" t="n"/>
      <c r="C31" s="4" t="n"/>
      <c r="D31" s="4" t="n"/>
      <c r="E31" s="4" t="n"/>
      <c r="F31" s="4" t="n"/>
    </row>
    <row r="32">
      <c r="A32" s="5" t="inlineStr">
        <is>
          <t>Identity only, by design. No rent is shown for these — a rent on a row that did not pass the comp criteria reads as a comp.</t>
        </is>
      </c>
    </row>
    <row r="33">
      <c r="A33" s="14" t="inlineStr">
        <is>
          <t>Community</t>
        </is>
      </c>
      <c r="B33" s="14" t="inlineStr">
        <is>
          <t>Address</t>
        </is>
      </c>
      <c r="C33" s="14" t="inlineStr">
        <is>
          <t>Distance (mi)</t>
        </is>
      </c>
      <c r="D33" s="14" t="inlineStr">
        <is>
          <t>Units</t>
        </is>
      </c>
      <c r="E33" s="14" t="inlineStr">
        <is>
          <t>Product</t>
        </is>
      </c>
      <c r="F33" s="14" t="inlineStr">
        <is>
          <t>Year built</t>
        </is>
      </c>
      <c r="G33" s="14" t="inlineStr">
        <is>
          <t>Not a comp because</t>
        </is>
      </c>
    </row>
    <row r="34">
      <c r="A34" s="5" t="inlineStr">
        <is>
          <t>Trails at Harris</t>
        </is>
      </c>
      <c r="B34" s="5" t="inlineStr">
        <is>
          <t>1653 S Harris Dr, Mesa, AZ 85204</t>
        </is>
      </c>
      <c r="C34" s="10" t="n">
        <v>0.88</v>
      </c>
      <c r="D34" s="7" t="n">
        <v>209</v>
      </c>
      <c r="E34" s="5" t="inlineStr">
        <is>
          <t>mf</t>
        </is>
      </c>
      <c r="F34" s="8" t="n">
        <v>1983</v>
      </c>
      <c r="G34" s="5" t="inlineStr">
        <is>
          <t>its 2 unit group(s) were withheld (flagged for review, no bedroom count or no rent), so nothing could be quoted</t>
        </is>
      </c>
    </row>
    <row r="35">
      <c r="A35" s="5" t="inlineStr">
        <is>
          <t>The Village at Lindsay Park Apartments</t>
        </is>
      </c>
      <c r="B35" s="5" t="inlineStr">
        <is>
          <t>1441 S Lindsay Rd, Mesa, AZ 85204-6285</t>
        </is>
      </c>
      <c r="C35" s="10" t="n">
        <v>0.9</v>
      </c>
      <c r="D35" s="7" t="n">
        <v>256</v>
      </c>
      <c r="E35" s="5" t="inlineStr">
        <is>
          <t>mf</t>
        </is>
      </c>
      <c r="F35" s="8" t="n">
        <v>1997</v>
      </c>
      <c r="G35" s="5" t="inlineStr">
        <is>
          <t>vintage 1997 is 16 years from the subject's 1981, outside the +/-10-year band</t>
        </is>
      </c>
    </row>
    <row r="36">
      <c r="A36" s="5" t="inlineStr">
        <is>
          <t>Craft at Gilbert and Baseline</t>
        </is>
      </c>
      <c r="B36" s="5" t="inlineStr">
        <is>
          <t>1930 S 24th St, Mesa, AZ 85234</t>
        </is>
      </c>
      <c r="C36" s="10" t="n">
        <v>0.92</v>
      </c>
      <c r="D36" s="7" t="n">
        <v>104</v>
      </c>
      <c r="E36" s="5" t="inlineStr">
        <is>
          <t>mf</t>
        </is>
      </c>
      <c r="F36" s="8" t="n">
        <v>2018</v>
      </c>
      <c r="G36" s="5" t="inlineStr">
        <is>
          <t>vintage 2018 is 37 years from the subject's 1981, outside the +/-10-year band</t>
        </is>
      </c>
    </row>
    <row r="37">
      <c r="A37" s="5" t="inlineStr">
        <is>
          <t>Villas on Ash</t>
        </is>
      </c>
      <c r="B37" s="5" t="inlineStr">
        <is>
          <t>1381 N Gilbert Rd, Gilbert, AZ 85234-2305</t>
        </is>
      </c>
      <c r="C37" s="10" t="n">
        <v>1.19</v>
      </c>
      <c r="D37" s="7" t="n">
        <v>165</v>
      </c>
      <c r="E37" s="5" t="inlineStr">
        <is>
          <t>bfr</t>
        </is>
      </c>
      <c r="F37" s="12" t="n"/>
      <c r="G37" s="5" t="inlineStr">
        <is>
          <t>different product: tracked as bfr, subject is MF</t>
        </is>
      </c>
    </row>
    <row r="38">
      <c r="A38" s="5" t="inlineStr">
        <is>
          <t>Lindsay Palms Apartments</t>
        </is>
      </c>
      <c r="B38" s="5" t="inlineStr">
        <is>
          <t>2855 E Broadway Rd, Mesa, AZ 85204-1762</t>
        </is>
      </c>
      <c r="C38" s="10" t="n">
        <v>1.25</v>
      </c>
      <c r="D38" s="7" t="n">
        <v>132</v>
      </c>
      <c r="E38" s="5" t="inlineStr">
        <is>
          <t>mf</t>
        </is>
      </c>
      <c r="F38" s="8" t="n">
        <v>1999</v>
      </c>
      <c r="G38" s="5" t="inlineStr">
        <is>
          <t>vintage 1999 is 18 years from the subject's 1981, outside the +/-10-year band</t>
        </is>
      </c>
    </row>
    <row r="39">
      <c r="A39" s="5" t="inlineStr">
        <is>
          <t>Indigo Springs</t>
        </is>
      </c>
      <c r="B39" s="5" t="inlineStr">
        <is>
          <t>1464 S Stapley Dr, Mesa, AZ 85204</t>
        </is>
      </c>
      <c r="C39" s="10" t="n">
        <v>1.29</v>
      </c>
      <c r="D39" s="7" t="n">
        <v>240</v>
      </c>
      <c r="E39" s="5" t="inlineStr">
        <is>
          <t>mf</t>
        </is>
      </c>
      <c r="F39" s="8" t="n">
        <v>1999</v>
      </c>
      <c r="G39" s="5" t="inlineStr">
        <is>
          <t>vintage 1999 is 18 years from the subject's 1981, outside the +/-10-year band</t>
        </is>
      </c>
    </row>
    <row r="40">
      <c r="A40" s="5" t="inlineStr">
        <is>
          <t>Sands Apartments</t>
        </is>
      </c>
      <c r="B40" s="5" t="inlineStr">
        <is>
          <t>2305 E Main St, Mesa, AZ 85213</t>
        </is>
      </c>
      <c r="C40" s="10" t="n">
        <v>1.42</v>
      </c>
      <c r="D40" s="7" t="n">
        <v>141</v>
      </c>
      <c r="E40" s="5" t="inlineStr">
        <is>
          <t>mf</t>
        </is>
      </c>
      <c r="F40" s="8" t="n">
        <v>1986</v>
      </c>
      <c r="G40" s="5" t="inlineStr">
        <is>
          <t>its 2 unit group(s) were withheld (flagged for review, no bedroom count or no rent), so nothing could be quoted</t>
        </is>
      </c>
    </row>
    <row r="41">
      <c r="A41" s="5" t="inlineStr">
        <is>
          <t>Lucera Apartments</t>
        </is>
      </c>
      <c r="B41" s="5" t="inlineStr">
        <is>
          <t>2940 E Broadway Rd, Mesa, AZ 85204-1751</t>
        </is>
      </c>
      <c r="C41" s="10" t="n">
        <v>1.46</v>
      </c>
      <c r="D41" s="7" t="n">
        <v>192</v>
      </c>
      <c r="E41" s="5" t="inlineStr">
        <is>
          <t>mf</t>
        </is>
      </c>
      <c r="F41" s="8" t="n">
        <v>1986</v>
      </c>
      <c r="G41" s="5" t="inlineStr">
        <is>
          <t>its 3 unit group(s) were withheld (flagged for review, no bedroom count or no rent), so nothing could be quoted</t>
        </is>
      </c>
    </row>
    <row r="42">
      <c r="A42" s="5" t="inlineStr">
        <is>
          <t>Vista Grove</t>
        </is>
      </c>
      <c r="B42" s="5" t="inlineStr">
        <is>
          <t>1320 S Val Vista Dr, Mesa, AZ 85204</t>
        </is>
      </c>
      <c r="C42" s="10" t="n">
        <v>1.73</v>
      </c>
      <c r="D42" s="7" t="n">
        <v>224</v>
      </c>
      <c r="E42" s="5" t="inlineStr">
        <is>
          <t>mf</t>
        </is>
      </c>
      <c r="F42" s="8" t="n">
        <v>1998</v>
      </c>
      <c r="G42" s="5" t="inlineStr">
        <is>
          <t>vintage 1998 is 17 years from the subject's 1981, outside the +/-10-year band</t>
        </is>
      </c>
    </row>
    <row r="43">
      <c r="A43" s="5" t="inlineStr">
        <is>
          <t>The Premiere at Dana Park</t>
        </is>
      </c>
      <c r="B43" s="5" t="inlineStr">
        <is>
          <t>1439 S Val Vista Dr, Mesa, AZ 85204</t>
        </is>
      </c>
      <c r="C43" s="10" t="n">
        <v>1.82</v>
      </c>
      <c r="D43" s="7" t="n">
        <v>198</v>
      </c>
      <c r="E43" s="5" t="inlineStr">
        <is>
          <t>mf</t>
        </is>
      </c>
      <c r="F43" s="8" t="n">
        <v>2018</v>
      </c>
      <c r="G43" s="5" t="inlineStr">
        <is>
          <t>vintage 2018 is 37 years from the subject's 1981, outside the +/-10-year band</t>
        </is>
      </c>
    </row>
    <row r="44">
      <c r="A44" s="5" t="inlineStr">
        <is>
          <t>Moxie</t>
        </is>
      </c>
      <c r="B44" s="5" t="inlineStr">
        <is>
          <t>1400 N Cooper Rd, Gilbert, AZ 85233</t>
        </is>
      </c>
      <c r="C44" s="10" t="n">
        <v>1.89</v>
      </c>
      <c r="D44" s="7" t="n">
        <v>205</v>
      </c>
      <c r="E44" s="5" t="inlineStr">
        <is>
          <t>mf</t>
        </is>
      </c>
      <c r="F44" s="8" t="n">
        <v>2024</v>
      </c>
      <c r="G44" s="5" t="inlineStr">
        <is>
          <t>vintage 2024 is 43 years from the subject's 1981, outside the +/-10-year band</t>
        </is>
      </c>
    </row>
    <row r="45">
      <c r="A45" s="5" t="inlineStr">
        <is>
          <t>The Orchard on Gilbert</t>
        </is>
      </c>
      <c r="B45" s="5" t="inlineStr">
        <is>
          <t>950 N Gilbert Rd, Gilbert, AZ 85234</t>
        </is>
      </c>
      <c r="C45" s="10" t="n">
        <v>1.89</v>
      </c>
      <c r="D45" s="7" t="n">
        <v>130</v>
      </c>
      <c r="E45" s="5" t="inlineStr">
        <is>
          <t>mf</t>
        </is>
      </c>
      <c r="F45" s="8" t="n">
        <v>1986</v>
      </c>
      <c r="G45" s="5" t="inlineStr">
        <is>
          <t>outside the service's preselection of 20: its rents are tracked but no unit group was quoted for it, so it is listed nearby</t>
        </is>
      </c>
    </row>
    <row r="46">
      <c r="A46" s="5" t="inlineStr">
        <is>
          <t>Talise Apartments</t>
        </is>
      </c>
      <c r="B46" s="5" t="inlineStr">
        <is>
          <t>265 N Gilbert Rd, Mesa, AZ 85203-8248</t>
        </is>
      </c>
      <c r="C46" s="10" t="n">
        <v>1.9</v>
      </c>
      <c r="D46" s="7" t="n">
        <v>388</v>
      </c>
      <c r="E46" s="5" t="inlineStr">
        <is>
          <t>mf</t>
        </is>
      </c>
      <c r="F46" s="8" t="n">
        <v>1985</v>
      </c>
      <c r="G46" s="5" t="inlineStr">
        <is>
          <t>outside the service's preselection of 20: its rents are tracked but no unit group was quoted for it, so it is listed nearby</t>
        </is>
      </c>
    </row>
    <row r="47">
      <c r="A47" s="5" t="inlineStr">
        <is>
          <t>Montero at Dana Park</t>
        </is>
      </c>
      <c r="B47" s="5" t="inlineStr">
        <is>
          <t>3636 E Inverness Ave, Mesa, AZ 85206</t>
        </is>
      </c>
      <c r="C47" s="10" t="n">
        <v>1.93</v>
      </c>
      <c r="D47" s="7" t="n">
        <v>208</v>
      </c>
      <c r="E47" s="5" t="inlineStr">
        <is>
          <t>mf</t>
        </is>
      </c>
      <c r="F47" s="8" t="n">
        <v>2000</v>
      </c>
      <c r="G47" s="5" t="inlineStr">
        <is>
          <t>vintage 2000 is 19 years from the subject's 1981, outside the +/-10-year band</t>
        </is>
      </c>
    </row>
    <row r="48">
      <c r="A48" s="5" t="inlineStr">
        <is>
          <t>544 Southern Apartments</t>
        </is>
      </c>
      <c r="B48" s="5" t="inlineStr">
        <is>
          <t>544 E Southern Ave, Mesa, AZ 85204-4935</t>
        </is>
      </c>
      <c r="C48" s="10" t="n">
        <v>2.01</v>
      </c>
      <c r="D48" s="7" t="n">
        <v>136</v>
      </c>
      <c r="E48" s="5" t="inlineStr">
        <is>
          <t>mf</t>
        </is>
      </c>
      <c r="F48" s="8" t="n">
        <v>1985</v>
      </c>
      <c r="G48" s="5" t="inlineStr">
        <is>
          <t>outside the service's preselection of 20: its rents are tracked but no unit group was quoted for it, so it is listed nearby</t>
        </is>
      </c>
    </row>
    <row r="49">
      <c r="A49" s="5" t="inlineStr">
        <is>
          <t>Cambria Apartments</t>
        </is>
      </c>
      <c r="B49" s="5" t="inlineStr">
        <is>
          <t>130 W Guadalupe Rd, Gilbert, AZ 85233</t>
        </is>
      </c>
      <c r="C49" s="10" t="n">
        <v>2.02</v>
      </c>
      <c r="D49" s="7" t="n">
        <v>174</v>
      </c>
      <c r="E49" s="5" t="inlineStr">
        <is>
          <t>mf</t>
        </is>
      </c>
      <c r="F49" s="8" t="n">
        <v>2000</v>
      </c>
      <c r="G49" s="5" t="inlineStr">
        <is>
          <t>vintage 2000 is 19 years from the subject's 1981, outside the +/-10-year band</t>
        </is>
      </c>
    </row>
    <row r="50">
      <c r="A50" s="5" t="inlineStr">
        <is>
          <t>Espiral Apartments</t>
        </is>
      </c>
      <c r="B50" s="5" t="inlineStr">
        <is>
          <t>125 E Guadalupe Rd, Gilbert, AZ 85234</t>
        </is>
      </c>
      <c r="C50" s="10" t="n">
        <v>2.06</v>
      </c>
      <c r="D50" s="7" t="n">
        <v>225</v>
      </c>
      <c r="E50" s="5" t="inlineStr">
        <is>
          <t>mf</t>
        </is>
      </c>
      <c r="F50" s="8" t="n">
        <v>1986</v>
      </c>
      <c r="G50" s="5" t="inlineStr">
        <is>
          <t>outside the service's preselection of 20: its rents are tracked but no unit group was quoted for it, so it is listed nearby</t>
        </is>
      </c>
    </row>
    <row r="51">
      <c r="A51" s="5" t="inlineStr">
        <is>
          <t>Gilbert Square</t>
        </is>
      </c>
      <c r="B51" s="5" t="inlineStr">
        <is>
          <t>1821 E Covina St, Mesa, AZ 85203-7525</t>
        </is>
      </c>
      <c r="C51" s="10" t="n">
        <v>2.15</v>
      </c>
      <c r="D51" s="7" t="n">
        <v>164</v>
      </c>
      <c r="E51" s="5" t="inlineStr">
        <is>
          <t>mf</t>
        </is>
      </c>
      <c r="F51" s="8" t="n">
        <v>1979</v>
      </c>
      <c r="G51" s="5" t="inlineStr">
        <is>
          <t>outside the service's preselection of 20: its rents are tracked but no unit group was quoted for it, so it is listed nearby</t>
        </is>
      </c>
    </row>
    <row r="52">
      <c r="A52" s="5" t="inlineStr">
        <is>
          <t>Delano Apartments</t>
        </is>
      </c>
      <c r="B52" s="5" t="inlineStr">
        <is>
          <t>1800 E Covina St, Mesa, AZ 85203</t>
        </is>
      </c>
      <c r="C52" s="10" t="n">
        <v>2.23</v>
      </c>
      <c r="D52" s="7" t="n">
        <v>265</v>
      </c>
      <c r="E52" s="5" t="inlineStr">
        <is>
          <t>mf</t>
        </is>
      </c>
      <c r="F52" s="8" t="n">
        <v>1979</v>
      </c>
      <c r="G52" s="5" t="inlineStr">
        <is>
          <t>outside the service's preselection of 20: its rents are tracked but no unit group was quoted for it, so it is listed nearby</t>
        </is>
      </c>
    </row>
    <row r="53">
      <c r="A53" s="5" t="inlineStr">
        <is>
          <t>La Mesa Village Apartments</t>
        </is>
      </c>
      <c r="B53" s="5" t="inlineStr">
        <is>
          <t>655 S Mesa Dr, Mesa, AZ 85210-2583</t>
        </is>
      </c>
      <c r="C53" s="10" t="n">
        <v>2.23</v>
      </c>
      <c r="D53" s="7" t="n">
        <v>256</v>
      </c>
      <c r="E53" s="5" t="inlineStr">
        <is>
          <t>mf</t>
        </is>
      </c>
      <c r="F53" s="8" t="n">
        <v>1986</v>
      </c>
      <c r="G53" s="5" t="inlineStr">
        <is>
          <t>outside the service's preselection of 20: its rents are tracked but no unit group was quoted for it, so it is listed nearby</t>
        </is>
      </c>
    </row>
    <row r="54">
      <c r="A54" s="5" t="inlineStr">
        <is>
          <t>Olive East</t>
        </is>
      </c>
      <c r="B54" s="5" t="inlineStr">
        <is>
          <t>65 E Olive Ave, Gilbert, AZ 85234</t>
        </is>
      </c>
      <c r="C54" s="10" t="n">
        <v>2.31</v>
      </c>
      <c r="D54" s="7" t="n">
        <v>120</v>
      </c>
      <c r="E54" s="5" t="inlineStr">
        <is>
          <t>mf</t>
        </is>
      </c>
      <c r="F54" s="8" t="n">
        <v>1984</v>
      </c>
      <c r="G54" s="5" t="inlineStr">
        <is>
          <t>outside the service's preselection of 20: its rents are tracked but no unit group was quoted for it, so it is listed nearby</t>
        </is>
      </c>
    </row>
    <row r="55">
      <c r="A55" s="5" t="inlineStr">
        <is>
          <t>Heritage District</t>
        </is>
      </c>
      <c r="B55" s="5" t="inlineStr">
        <is>
          <t>275 W Juniper Ave, Gilbert, AZ 85233</t>
        </is>
      </c>
      <c r="C55" s="10" t="n">
        <v>2.47</v>
      </c>
      <c r="D55" s="7" t="n">
        <v>458</v>
      </c>
      <c r="E55" s="5" t="inlineStr">
        <is>
          <t>mf</t>
        </is>
      </c>
      <c r="F55" s="8" t="n">
        <v>1986</v>
      </c>
      <c r="G55" s="5" t="inlineStr">
        <is>
          <t>outside the service's preselection of 20: its rents are tracked but no unit group was quoted for it, so it is listed nearby</t>
        </is>
      </c>
    </row>
    <row r="56">
      <c r="A56" s="5" t="inlineStr">
        <is>
          <t>Serena Shores</t>
        </is>
      </c>
      <c r="B56" s="5" t="inlineStr">
        <is>
          <t>4101 E Baseline Rd, Gilbert, AZ 85234-9101</t>
        </is>
      </c>
      <c r="C56" s="10" t="n">
        <v>2.49</v>
      </c>
      <c r="D56" s="7" t="n">
        <v>240</v>
      </c>
      <c r="E56" s="5" t="inlineStr">
        <is>
          <t>mf</t>
        </is>
      </c>
      <c r="F56" s="8" t="n">
        <v>1997</v>
      </c>
      <c r="G56" s="5" t="inlineStr">
        <is>
          <t>vintage 1997 is 16 years from the subject's 1981, outside the +/-10-year band</t>
        </is>
      </c>
    </row>
    <row r="57">
      <c r="A57" s="5" t="inlineStr">
        <is>
          <t>Val Vista Gardens</t>
        </is>
      </c>
      <c r="B57" s="5" t="inlineStr">
        <is>
          <t>3443 E University Dr, Mesa, AZ 85213</t>
        </is>
      </c>
      <c r="C57" s="10" t="n">
        <v>2.5</v>
      </c>
      <c r="D57" s="7" t="n">
        <v>98</v>
      </c>
      <c r="E57" s="5" t="inlineStr">
        <is>
          <t>mf</t>
        </is>
      </c>
      <c r="F57" s="8" t="n">
        <v>1985</v>
      </c>
      <c r="G57" s="5" t="inlineStr">
        <is>
          <t>outside the service's preselection of 20: its rents are tracked but no unit group was quoted for it, so it is listed nearby</t>
        </is>
      </c>
    </row>
    <row r="58">
      <c r="A58" s="5" t="inlineStr">
        <is>
          <t>Genoa Lakes</t>
        </is>
      </c>
      <c r="B58" s="5" t="inlineStr">
        <is>
          <t>3320 E University Dr, Mesa, AZ 85213</t>
        </is>
      </c>
      <c r="C58" s="10" t="n">
        <v>2.56</v>
      </c>
      <c r="D58" s="7" t="n">
        <v>361</v>
      </c>
      <c r="E58" s="5" t="inlineStr">
        <is>
          <t>mf</t>
        </is>
      </c>
      <c r="F58" s="8" t="n">
        <v>1985</v>
      </c>
      <c r="G58" s="5" t="inlineStr">
        <is>
          <t>outside the service's preselection of 20: its rents are tracked but no unit group was quoted for it, so it is listed nearby</t>
        </is>
      </c>
    </row>
    <row r="59">
      <c r="A59" s="5" t="inlineStr">
        <is>
          <t>Argenta Apartments</t>
        </is>
      </c>
      <c r="B59" s="5" t="inlineStr">
        <is>
          <t>4104 E Broadway Rd, Mesa, AZ 85206</t>
        </is>
      </c>
      <c r="C59" s="10" t="n">
        <v>2.6</v>
      </c>
      <c r="D59" s="7" t="n">
        <v>396</v>
      </c>
      <c r="E59" s="5" t="inlineStr">
        <is>
          <t>mf</t>
        </is>
      </c>
      <c r="F59" s="8" t="n">
        <v>1985</v>
      </c>
      <c r="G59" s="5" t="inlineStr">
        <is>
          <t>outside the service's preselection of 20: its rents are tracked but no unit group was quoted for it, so it is listed nearby</t>
        </is>
      </c>
    </row>
    <row r="60">
      <c r="A60" s="5" t="inlineStr">
        <is>
          <t>The District Lofts</t>
        </is>
      </c>
      <c r="B60" s="5" t="inlineStr">
        <is>
          <t>170 W Cullumber Ave, Gilbert, AZ 85233-4905</t>
        </is>
      </c>
      <c r="C60" s="10" t="n">
        <v>2.78</v>
      </c>
      <c r="D60" s="7" t="n">
        <v>172</v>
      </c>
      <c r="E60" s="5" t="inlineStr">
        <is>
          <t>mf</t>
        </is>
      </c>
      <c r="F60" s="8" t="n">
        <v>2017</v>
      </c>
      <c r="G60" s="5" t="inlineStr">
        <is>
          <t>vintage 2017 is 36 years from the subject's 1981, outside the +/-10-year band</t>
        </is>
      </c>
    </row>
    <row r="61">
      <c r="A61" s="5" t="inlineStr">
        <is>
          <t>Envision</t>
        </is>
      </c>
      <c r="B61" s="5" t="inlineStr">
        <is>
          <t>1361 S Greenfield Rd, Mesa, AZ 85206-3306</t>
        </is>
      </c>
      <c r="C61" s="10" t="n">
        <v>2.88</v>
      </c>
      <c r="D61" s="7" t="n">
        <v>248</v>
      </c>
      <c r="E61" s="5" t="inlineStr">
        <is>
          <t>mf</t>
        </is>
      </c>
      <c r="F61" s="8" t="n">
        <v>1997</v>
      </c>
      <c r="G61" s="5" t="inlineStr">
        <is>
          <t>vintage 1997 is 16 years from the subject's 1981, outside the +/-10-year band</t>
        </is>
      </c>
    </row>
    <row r="62">
      <c r="A62" s="5" t="inlineStr">
        <is>
          <t>Melody on Main</t>
        </is>
      </c>
      <c r="B62" s="5" t="inlineStr">
        <is>
          <t>145 E Main St, Mesa, AZ 85201-7407</t>
        </is>
      </c>
      <c r="C62" s="10" t="n">
        <v>2.88</v>
      </c>
      <c r="D62" s="7" t="n">
        <v>335</v>
      </c>
      <c r="E62" s="5" t="inlineStr">
        <is>
          <t>mf</t>
        </is>
      </c>
      <c r="F62" s="8" t="n">
        <v>2023</v>
      </c>
      <c r="G62" s="5" t="inlineStr">
        <is>
          <t>vintage 2023 is 42 years from the subject's 1981, outside the +/-10-year band</t>
        </is>
      </c>
    </row>
    <row r="63">
      <c r="A63" s="5" t="inlineStr">
        <is>
          <t>The Sterling</t>
        </is>
      </c>
      <c r="B63" s="5" t="inlineStr">
        <is>
          <t>1303 W Juniper Ave, Gilbert, AZ 85233</t>
        </is>
      </c>
      <c r="C63" s="10" t="n">
        <v>2.93</v>
      </c>
      <c r="D63" s="7" t="n">
        <v>107</v>
      </c>
      <c r="E63" s="5" t="inlineStr">
        <is>
          <t>mf</t>
        </is>
      </c>
      <c r="F63" s="8" t="n">
        <v>2000</v>
      </c>
      <c r="G63" s="5" t="inlineStr">
        <is>
          <t>vintage 2000 is 19 years from the subject's 1981, outside the +/-10-year band</t>
        </is>
      </c>
    </row>
    <row r="64">
      <c r="A64" s="5" t="inlineStr">
        <is>
          <t>Cimarron Apartments</t>
        </is>
      </c>
      <c r="B64" s="5" t="inlineStr">
        <is>
          <t>151 E 1st St, Mesa, AZ 85201</t>
        </is>
      </c>
      <c r="C64" s="10" t="n">
        <v>2.97</v>
      </c>
      <c r="D64" s="7" t="n">
        <v>210</v>
      </c>
      <c r="E64" s="5" t="inlineStr">
        <is>
          <t>mf</t>
        </is>
      </c>
      <c r="F64" s="8" t="n">
        <v>1985</v>
      </c>
      <c r="G64" s="5" t="inlineStr">
        <is>
          <t>outside the service's preselection of 20: its rents are tracked but no unit group was quoted for it, so it is listed nearby</t>
        </is>
      </c>
    </row>
    <row r="65">
      <c r="A65" s="5" t="inlineStr">
        <is>
          <t>San Fernando Apartments</t>
        </is>
      </c>
      <c r="B65" s="5" t="inlineStr">
        <is>
          <t>4150 E Main St, Mesa, AZ 85205</t>
        </is>
      </c>
      <c r="C65" s="10" t="n">
        <v>2.98</v>
      </c>
      <c r="D65" s="7" t="n">
        <v>264</v>
      </c>
      <c r="E65" s="5" t="inlineStr">
        <is>
          <t>mf</t>
        </is>
      </c>
      <c r="F65" s="8" t="n">
        <v>2004</v>
      </c>
      <c r="G65" s="5" t="inlineStr">
        <is>
          <t>excluded from comp sets by the tracker: income_restricted</t>
        </is>
      </c>
    </row>
    <row r="66">
      <c r="A66" s="5" t="inlineStr">
        <is>
          <t>San Piedra</t>
        </is>
      </c>
      <c r="B66" s="5" t="inlineStr">
        <is>
          <t>4510 E Banner Gateway Dr, Mesa, AZ 85206-4748</t>
        </is>
      </c>
      <c r="C66" s="10" t="n">
        <v>3.02</v>
      </c>
      <c r="D66" s="7" t="n">
        <v>346</v>
      </c>
      <c r="E66" s="5" t="inlineStr">
        <is>
          <t>mf</t>
        </is>
      </c>
      <c r="F66" s="8" t="n">
        <v>2018</v>
      </c>
      <c r="G66" s="5" t="inlineStr">
        <is>
          <t>vintage 2018 is 37 years from the subject's 1981, outside the +/-10-year band</t>
        </is>
      </c>
    </row>
    <row r="67">
      <c r="A67" s="5" t="inlineStr">
        <is>
          <t>Pennytree Apartments</t>
        </is>
      </c>
      <c r="B67" s="5" t="inlineStr">
        <is>
          <t>232 S MacDonald, Mesa, AZ 85210-1516</t>
        </is>
      </c>
      <c r="C67" s="10" t="n">
        <v>3.1</v>
      </c>
      <c r="D67" s="7" t="n">
        <v>146</v>
      </c>
      <c r="E67" s="5" t="inlineStr">
        <is>
          <t>mf</t>
        </is>
      </c>
      <c r="F67" s="8" t="n">
        <v>1971</v>
      </c>
      <c r="G67" s="5" t="inlineStr">
        <is>
          <t>outside the service's preselection of 20: its rents are tracked but no unit group was quoted for it, so it is listed nearby</t>
        </is>
      </c>
    </row>
    <row r="68">
      <c r="A68" s="5" t="inlineStr">
        <is>
          <t>2nd Ave Commons</t>
        </is>
      </c>
      <c r="B68" s="5" t="inlineStr">
        <is>
          <t>140 W 2nd Ave, Mesa, AZ 85210</t>
        </is>
      </c>
      <c r="C68" s="10" t="n">
        <v>3.17</v>
      </c>
      <c r="D68" s="7" t="n">
        <v>144</v>
      </c>
      <c r="E68" s="5" t="inlineStr">
        <is>
          <t>mf</t>
        </is>
      </c>
      <c r="F68" s="8" t="n">
        <v>2023</v>
      </c>
      <c r="G68" s="5" t="inlineStr">
        <is>
          <t>vintage 2023 is 42 years from the subject's 1981, outside the +/-10-year band</t>
        </is>
      </c>
    </row>
    <row r="69">
      <c r="A69" s="5" t="inlineStr">
        <is>
          <t>San Villante</t>
        </is>
      </c>
      <c r="B69" s="5" t="inlineStr">
        <is>
          <t>4760 E Baseline Rd, Mesa, AZ 85206-4602</t>
        </is>
      </c>
      <c r="C69" s="10" t="n">
        <v>3.17</v>
      </c>
      <c r="D69" s="7" t="n">
        <v>348</v>
      </c>
      <c r="E69" s="5" t="inlineStr">
        <is>
          <t>mf</t>
        </is>
      </c>
      <c r="F69" s="8" t="n">
        <v>2020</v>
      </c>
      <c r="G69" s="5" t="inlineStr">
        <is>
          <t>vintage 2020 is 39 years from the subject's 1981, outside the +/-10-year band</t>
        </is>
      </c>
    </row>
    <row r="70">
      <c r="A70" s="5" t="inlineStr">
        <is>
          <t>Escobedo at Verde Vista</t>
        </is>
      </c>
      <c r="B70" s="5" t="inlineStr">
        <is>
          <t>435 N Hibbert, Mesa, AZ 85201-5904</t>
        </is>
      </c>
      <c r="C70" s="10" t="n">
        <v>3.18</v>
      </c>
      <c r="D70" s="7" t="n">
        <v>194</v>
      </c>
      <c r="E70" s="5" t="inlineStr">
        <is>
          <t>mf</t>
        </is>
      </c>
      <c r="F70" s="8" t="n">
        <v>2013</v>
      </c>
      <c r="G70" s="5" t="inlineStr">
        <is>
          <t>excluded from comp sets by the tracker: income_restricted</t>
        </is>
      </c>
    </row>
    <row r="71">
      <c r="A71" s="5" t="inlineStr">
        <is>
          <t>Orchard Mesa</t>
        </is>
      </c>
      <c r="B71" s="5" t="inlineStr">
        <is>
          <t>108 N Greenfield Rd, Mesa, AZ 85205</t>
        </is>
      </c>
      <c r="C71" s="10" t="n">
        <v>3.2</v>
      </c>
      <c r="D71" s="7" t="n">
        <v>696</v>
      </c>
      <c r="E71" s="5" t="inlineStr">
        <is>
          <t>mf</t>
        </is>
      </c>
      <c r="F71" s="8" t="n">
        <v>1985</v>
      </c>
      <c r="G71" s="5" t="inlineStr">
        <is>
          <t>excluded from comp sets by the tracker: age_restricted</t>
        </is>
      </c>
    </row>
    <row r="72">
      <c r="A72" s="5" t="inlineStr">
        <is>
          <t>Mera Greenfield</t>
        </is>
      </c>
      <c r="B72" s="5" t="inlineStr">
        <is>
          <t>4755 E Southern Ave, Mesa, AZ 85206-2757</t>
        </is>
      </c>
      <c r="C72" s="10" t="n">
        <v>3.23</v>
      </c>
      <c r="D72" s="7" t="n">
        <v>208</v>
      </c>
      <c r="E72" s="5" t="inlineStr">
        <is>
          <t>mf</t>
        </is>
      </c>
      <c r="F72" s="8" t="n">
        <v>2024</v>
      </c>
      <c r="G72" s="5" t="inlineStr">
        <is>
          <t>excluded from comp sets by the tracker: age_restricted</t>
        </is>
      </c>
    </row>
    <row r="73">
      <c r="A73" s="5" t="inlineStr">
        <is>
          <t>Falcon Glen Apartments</t>
        </is>
      </c>
      <c r="B73" s="5" t="inlineStr">
        <is>
          <t>4225 E University Dr, Mesa, AZ 85205</t>
        </is>
      </c>
      <c r="C73" s="10" t="n">
        <v>3.25</v>
      </c>
      <c r="D73" s="7" t="n">
        <v>402</v>
      </c>
      <c r="E73" s="5" t="inlineStr">
        <is>
          <t>mf</t>
        </is>
      </c>
      <c r="F73" s="8" t="n">
        <v>1984</v>
      </c>
      <c r="G73" s="5" t="inlineStr">
        <is>
          <t>outside the service's preselection of 20: its rents are tracked but no unit group was quoted for it, so it is listed nearby</t>
        </is>
      </c>
    </row>
    <row r="74">
      <c r="A74" s="5" t="inlineStr">
        <is>
          <t>Garrett Mesa</t>
        </is>
      </c>
      <c r="B74" s="5" t="inlineStr">
        <is>
          <t>1340 S 48th St, Mesa, AZ 85206</t>
        </is>
      </c>
      <c r="C74" s="10" t="n">
        <v>3.27</v>
      </c>
      <c r="D74" s="7" t="n">
        <v>248</v>
      </c>
      <c r="E74" s="5" t="inlineStr">
        <is>
          <t>mf</t>
        </is>
      </c>
      <c r="F74" s="8" t="n">
        <v>2025</v>
      </c>
      <c r="G74" s="5" t="inlineStr">
        <is>
          <t>vintage 2025 is 44 years from the subject's 1981, outside the +/-10-year band</t>
        </is>
      </c>
    </row>
    <row r="75">
      <c r="A75" s="5" t="inlineStr">
        <is>
          <t>Heather Brook Apartments</t>
        </is>
      </c>
      <c r="B75" s="5" t="inlineStr">
        <is>
          <t>4230 E University Dr, Mesa, AZ 85205-7003</t>
        </is>
      </c>
      <c r="C75" s="10" t="n">
        <v>3.3</v>
      </c>
      <c r="D75" s="7" t="n">
        <v>128</v>
      </c>
      <c r="E75" s="5" t="inlineStr">
        <is>
          <t>mf</t>
        </is>
      </c>
      <c r="F75" s="8" t="n">
        <v>1986</v>
      </c>
      <c r="G75" s="5" t="inlineStr">
        <is>
          <t>outside the service's preselection of 20: its rents are tracked but no unit group was quoted for it, so it is listed nearby</t>
        </is>
      </c>
    </row>
    <row r="76">
      <c r="A76" s="5" t="inlineStr">
        <is>
          <t>Eco Mesa</t>
        </is>
      </c>
      <c r="B76" s="5" t="inlineStr">
        <is>
          <t>127 W Pepper Pl, Mesa, AZ 85201</t>
        </is>
      </c>
      <c r="C76" s="10" t="n">
        <v>3.33</v>
      </c>
      <c r="D76" s="7" t="n">
        <v>102</v>
      </c>
      <c r="E76" s="5" t="inlineStr">
        <is>
          <t>mf</t>
        </is>
      </c>
      <c r="F76" s="8" t="n">
        <v>2023</v>
      </c>
      <c r="G76" s="5" t="inlineStr">
        <is>
          <t>vintage 2023 is 42 years from the subject's 1981, outside the +/-10-year band</t>
        </is>
      </c>
    </row>
    <row r="77">
      <c r="A77" s="5" t="inlineStr">
        <is>
          <t>Shorebird</t>
        </is>
      </c>
      <c r="B77" s="5" t="inlineStr">
        <is>
          <t>1362 S Vineyard, Mesa, AZ 85210-8933</t>
        </is>
      </c>
      <c r="C77" s="10" t="n">
        <v>3.39</v>
      </c>
      <c r="D77" s="7" t="n">
        <v>241</v>
      </c>
      <c r="E77" s="5" t="inlineStr">
        <is>
          <t>mf</t>
        </is>
      </c>
      <c r="F77" s="8" t="n">
        <v>1983</v>
      </c>
      <c r="G77" s="5" t="inlineStr">
        <is>
          <t>outside the service's preselection of 20: its rents are tracked but no unit group was quoted for it, so it is listed nearby</t>
        </is>
      </c>
    </row>
    <row r="78">
      <c r="A78" s="5" t="inlineStr">
        <is>
          <t>Forge Tower</t>
        </is>
      </c>
      <c r="B78" s="5" t="inlineStr">
        <is>
          <t>22 N Robson, Mesa, AZ 85201</t>
        </is>
      </c>
      <c r="C78" s="10" t="n">
        <v>3.43</v>
      </c>
      <c r="D78" s="7" t="n">
        <v>188</v>
      </c>
      <c r="E78" s="5" t="inlineStr">
        <is>
          <t>mf</t>
        </is>
      </c>
      <c r="F78" s="8" t="n">
        <v>2025</v>
      </c>
      <c r="G78" s="5" t="inlineStr">
        <is>
          <t>vintage 2025 is 44 years from the subject's 1981, outside the +/-10-year band</t>
        </is>
      </c>
    </row>
    <row r="79">
      <c r="A79" s="5" t="inlineStr">
        <is>
          <t>Aspire Mesa</t>
        </is>
      </c>
      <c r="B79" s="5" t="inlineStr">
        <is>
          <t>1248 S Vineyard, Mesa, AZ 85210</t>
        </is>
      </c>
      <c r="C79" s="10" t="n">
        <v>3.44</v>
      </c>
      <c r="D79" s="7" t="n">
        <v>97</v>
      </c>
      <c r="E79" s="5" t="inlineStr">
        <is>
          <t>mf</t>
        </is>
      </c>
      <c r="F79" s="8" t="n">
        <v>1971</v>
      </c>
      <c r="G79" s="5" t="inlineStr">
        <is>
          <t>outside the service's preselection of 20: its rents are tracked but no unit group was quoted for it, so it is listed nearby</t>
        </is>
      </c>
    </row>
    <row r="80">
      <c r="A80" s="5" t="inlineStr">
        <is>
          <t>Mezona on Main</t>
        </is>
      </c>
      <c r="B80" s="5" t="inlineStr">
        <is>
          <t>250 W Main St, Mesa, AZ 85201-7312</t>
        </is>
      </c>
      <c r="C80" s="10" t="n">
        <v>3.48</v>
      </c>
      <c r="D80" s="7" t="n">
        <v>128</v>
      </c>
      <c r="E80" s="5" t="inlineStr">
        <is>
          <t>mf</t>
        </is>
      </c>
      <c r="F80" s="8" t="n">
        <v>1973</v>
      </c>
      <c r="G80" s="5" t="inlineStr">
        <is>
          <t>outside the service's preselection of 20: its rents are tracked but no unit group was quoted for it, so it is listed nearby</t>
        </is>
      </c>
    </row>
    <row r="81">
      <c r="A81" s="5" t="inlineStr">
        <is>
          <t>The Julia</t>
        </is>
      </c>
      <c r="B81" s="5" t="inlineStr">
        <is>
          <t>546 S Country Club Dr, Mesa, AZ 85210-2356</t>
        </is>
      </c>
      <c r="C81" s="10" t="n">
        <v>3.51</v>
      </c>
      <c r="D81" s="7" t="n">
        <v>320</v>
      </c>
      <c r="E81" s="5" t="inlineStr">
        <is>
          <t>mf</t>
        </is>
      </c>
      <c r="F81" s="8" t="n">
        <v>1986</v>
      </c>
      <c r="G81" s="5" t="inlineStr">
        <is>
          <t>outside the service's preselection of 20: its rents are tracked but no unit group was quoted for it, so it is listed nearby</t>
        </is>
      </c>
    </row>
    <row r="82">
      <c r="A82" s="5" t="inlineStr">
        <is>
          <t>Exchange on the 8</t>
        </is>
      </c>
      <c r="B82" s="5" t="inlineStr">
        <is>
          <t>604 W 8th Ave, Mesa, AZ 85210</t>
        </is>
      </c>
      <c r="C82" s="10" t="n">
        <v>3.53</v>
      </c>
      <c r="D82" s="7" t="n">
        <v>140</v>
      </c>
      <c r="E82" s="5" t="inlineStr">
        <is>
          <t>mf</t>
        </is>
      </c>
      <c r="F82" s="8" t="n">
        <v>1999</v>
      </c>
      <c r="G82" s="5" t="inlineStr">
        <is>
          <t>vintage 1999 is 18 years from the subject's 1981, outside the +/-10-year band</t>
        </is>
      </c>
    </row>
    <row r="83">
      <c r="A83" s="5" t="inlineStr">
        <is>
          <t>Alta 87</t>
        </is>
      </c>
      <c r="B83" s="5" t="inlineStr">
        <is>
          <t>1225 N Arizona Ave, Gilbert, AZ 85233-1617</t>
        </is>
      </c>
      <c r="C83" s="10" t="n">
        <v>3.54</v>
      </c>
      <c r="D83" s="7" t="n">
        <v>259</v>
      </c>
      <c r="E83" s="5" t="inlineStr">
        <is>
          <t>mf</t>
        </is>
      </c>
      <c r="F83" s="8" t="n">
        <v>2025</v>
      </c>
      <c r="G83" s="5" t="inlineStr">
        <is>
          <t>vintage 2025 is 44 years from the subject's 1981, outside the +/-10-year band</t>
        </is>
      </c>
    </row>
    <row r="84">
      <c r="A84" s="5" t="inlineStr">
        <is>
          <t>The Residences on Main</t>
        </is>
      </c>
      <c r="B84" s="5" t="inlineStr">
        <is>
          <t>424 W Main St, Mesa, AZ 85201</t>
        </is>
      </c>
      <c r="C84" s="10" t="n">
        <v>3.59</v>
      </c>
      <c r="D84" s="7" t="n">
        <v>198</v>
      </c>
      <c r="E84" s="5" t="inlineStr">
        <is>
          <t>mf</t>
        </is>
      </c>
      <c r="F84" s="8" t="n">
        <v>2026</v>
      </c>
      <c r="G84" s="5" t="inlineStr">
        <is>
          <t>vintage 2026 is 45 years from the subject's 1981, outside the +/-10-year band</t>
        </is>
      </c>
    </row>
    <row r="85">
      <c r="A85" s="5" t="inlineStr">
        <is>
          <t>Sahara/Playa Palms Apartments</t>
        </is>
      </c>
      <c r="B85" s="5" t="inlineStr">
        <is>
          <t>2300 W San Angelo St, Gilbert, AZ 85233-2219</t>
        </is>
      </c>
      <c r="C85" s="10" t="n">
        <v>3.61</v>
      </c>
      <c r="D85" s="7" t="n">
        <v>840</v>
      </c>
      <c r="E85" s="5" t="inlineStr">
        <is>
          <t>mf</t>
        </is>
      </c>
      <c r="F85" s="8" t="n">
        <v>1985</v>
      </c>
      <c r="G85" s="5" t="inlineStr">
        <is>
          <t>outside the service's preselection of 20: its rents are tracked but no unit group was quoted for it, so it is listed nearby</t>
        </is>
      </c>
    </row>
    <row r="86">
      <c r="A86" s="5" t="inlineStr">
        <is>
          <t>Villa Fiesta</t>
        </is>
      </c>
      <c r="B86" s="5" t="inlineStr">
        <is>
          <t>1515 S Extension Rd, Mesa, AZ 85210</t>
        </is>
      </c>
      <c r="C86" s="10" t="n">
        <v>3.65</v>
      </c>
      <c r="D86" s="7" t="n">
        <v>438</v>
      </c>
      <c r="E86" s="5" t="inlineStr">
        <is>
          <t>mf</t>
        </is>
      </c>
      <c r="F86" s="8" t="n">
        <v>1986</v>
      </c>
      <c r="G86" s="5" t="inlineStr">
        <is>
          <t>outside the service's preselection of 20: its rents are tracked but no unit group was quoted for it, so it is listed nearby</t>
        </is>
      </c>
    </row>
    <row r="87">
      <c r="A87" s="5" t="inlineStr">
        <is>
          <t>Villas On Hampton Avenue</t>
        </is>
      </c>
      <c r="B87" s="5" t="inlineStr">
        <is>
          <t>5120 E Hampton Ave, Mesa, AZ 85206</t>
        </is>
      </c>
      <c r="C87" s="10" t="n">
        <v>3.67</v>
      </c>
      <c r="D87" s="7" t="n">
        <v>266</v>
      </c>
      <c r="E87" s="5" t="inlineStr">
        <is>
          <t>mf</t>
        </is>
      </c>
      <c r="F87" s="8" t="n">
        <v>2000</v>
      </c>
      <c r="G87" s="5" t="inlineStr">
        <is>
          <t>vintage 2000 is 19 years from the subject's 1981, outside the +/-10-year band</t>
        </is>
      </c>
    </row>
    <row r="88">
      <c r="A88" s="5" t="inlineStr">
        <is>
          <t>San Posada</t>
        </is>
      </c>
      <c r="B88" s="5" t="inlineStr">
        <is>
          <t>2318 S Country Club Dr, Mesa, AZ 85210</t>
        </is>
      </c>
      <c r="C88" s="10" t="n">
        <v>3.7</v>
      </c>
      <c r="D88" s="7" t="n">
        <v>372</v>
      </c>
      <c r="E88" s="5" t="inlineStr">
        <is>
          <t>mf</t>
        </is>
      </c>
      <c r="F88" s="8" t="n">
        <v>2015</v>
      </c>
      <c r="G88" s="5" t="inlineStr">
        <is>
          <t>vintage 2015 is 34 years from the subject's 1981, outside the +/-10-year band</t>
        </is>
      </c>
    </row>
    <row r="89">
      <c r="A89" s="5" t="inlineStr">
        <is>
          <t>The Joshua Apartments</t>
        </is>
      </c>
      <c r="B89" s="5" t="inlineStr">
        <is>
          <t>1711 S Extension Rd, Mesa, AZ 85210-9510</t>
        </is>
      </c>
      <c r="C89" s="10" t="n">
        <v>3.72</v>
      </c>
      <c r="D89" s="7" t="n">
        <v>276</v>
      </c>
      <c r="E89" s="5" t="inlineStr">
        <is>
          <t>mf</t>
        </is>
      </c>
      <c r="F89" s="8" t="n">
        <v>1985</v>
      </c>
      <c r="G89" s="5" t="inlineStr">
        <is>
          <t>outside the service's preselection of 20: its rents are tracked but no unit group was quoted for it, so it is listed nearby</t>
        </is>
      </c>
    </row>
    <row r="90">
      <c r="A90" s="5" t="inlineStr">
        <is>
          <t>Southern Avenue Villas</t>
        </is>
      </c>
      <c r="B90" s="5" t="inlineStr">
        <is>
          <t>855 W Southern Ave, Mesa, AZ 85210</t>
        </is>
      </c>
      <c r="C90" s="10" t="n">
        <v>3.76</v>
      </c>
      <c r="D90" s="7" t="n">
        <v>384</v>
      </c>
      <c r="E90" s="5" t="inlineStr">
        <is>
          <t>mf</t>
        </is>
      </c>
      <c r="F90" s="8" t="n">
        <v>2016</v>
      </c>
      <c r="G90" s="5" t="inlineStr">
        <is>
          <t>vintage 2016 is 35 years from the subject's 1981, outside the +/-10-year band</t>
        </is>
      </c>
    </row>
    <row r="91">
      <c r="A91" s="5" t="inlineStr">
        <is>
          <t>Glen at Mesa</t>
        </is>
      </c>
      <c r="B91" s="5" t="inlineStr">
        <is>
          <t>1233 N Mesa Dr, Mesa, AZ 85201</t>
        </is>
      </c>
      <c r="C91" s="10" t="n">
        <v>3.77</v>
      </c>
      <c r="D91" s="7" t="n">
        <v>406</v>
      </c>
      <c r="E91" s="5" t="inlineStr">
        <is>
          <t>mf</t>
        </is>
      </c>
      <c r="F91" s="8" t="n">
        <v>1985</v>
      </c>
      <c r="G91" s="5" t="inlineStr">
        <is>
          <t>outside the service's preselection of 20: its rents are tracked but no unit group was quoted for it, so it is listed nearby</t>
        </is>
      </c>
    </row>
    <row r="92">
      <c r="A92" s="5" t="inlineStr">
        <is>
          <t>Alta Rise</t>
        </is>
      </c>
      <c r="B92" s="5" t="inlineStr">
        <is>
          <t>80 N McQueen Rd, Gilbert, AZ 85233-5043</t>
        </is>
      </c>
      <c r="C92" s="10" t="n">
        <v>3.8</v>
      </c>
      <c r="D92" s="7" t="n">
        <v>278</v>
      </c>
      <c r="E92" s="5" t="inlineStr">
        <is>
          <t>mf</t>
        </is>
      </c>
      <c r="F92" s="8" t="n">
        <v>2025</v>
      </c>
      <c r="G92" s="5" t="inlineStr">
        <is>
          <t>vintage 2025 is 44 years from the subject's 1981, outside the +/-10-year band</t>
        </is>
      </c>
    </row>
    <row r="93">
      <c r="A93" s="5" t="inlineStr">
        <is>
          <t>Verona Park Apartments</t>
        </is>
      </c>
      <c r="B93" s="5" t="inlineStr">
        <is>
          <t>1666 S Extension Rd, Mesa, AZ 85210-9312</t>
        </is>
      </c>
      <c r="C93" s="10" t="n">
        <v>3.8</v>
      </c>
      <c r="D93" s="7" t="n">
        <v>304</v>
      </c>
      <c r="E93" s="5" t="inlineStr">
        <is>
          <t>mf</t>
        </is>
      </c>
      <c r="F93" s="8" t="n">
        <v>1981</v>
      </c>
      <c r="G93" s="5" t="inlineStr">
        <is>
          <t>outside the service's preselection of 20: its rents are tracked but no unit group was quoted for it, so it is listed nearby</t>
        </is>
      </c>
    </row>
    <row r="94">
      <c r="A94" s="5" t="inlineStr">
        <is>
          <t>Woodstream Village Apartments</t>
        </is>
      </c>
      <c r="B94" s="5" t="inlineStr">
        <is>
          <t>1230 N Mesa Dr, Mesa, AZ 85201</t>
        </is>
      </c>
      <c r="C94" s="10" t="n">
        <v>3.8</v>
      </c>
      <c r="D94" s="7" t="n">
        <v>156</v>
      </c>
      <c r="E94" s="5" t="inlineStr">
        <is>
          <t>mf</t>
        </is>
      </c>
      <c r="F94" s="8" t="n">
        <v>1982</v>
      </c>
      <c r="G94" s="5" t="inlineStr">
        <is>
          <t>outside the service's preselection of 20: its rents are tracked but no unit group was quoted for it, so it is listed nearby</t>
        </is>
      </c>
    </row>
    <row r="95">
      <c r="A95" s="5" t="inlineStr">
        <is>
          <t>Desert Palms Apartments</t>
        </is>
      </c>
      <c r="B95" s="5" t="inlineStr">
        <is>
          <t>210 E Brown Rd, Mesa, AZ 85201-3567</t>
        </is>
      </c>
      <c r="C95" s="10" t="n">
        <v>3.81</v>
      </c>
      <c r="D95" s="7" t="n">
        <v>96</v>
      </c>
      <c r="E95" s="5" t="inlineStr">
        <is>
          <t>mf</t>
        </is>
      </c>
      <c r="F95" s="8" t="n">
        <v>1995</v>
      </c>
      <c r="G95" s="5" t="inlineStr">
        <is>
          <t>excluded from comp sets by the tracker: income_restricted</t>
        </is>
      </c>
    </row>
    <row r="96">
      <c r="A96" s="5" t="inlineStr">
        <is>
          <t>Equinox on Country Club</t>
        </is>
      </c>
      <c r="B96" s="5" t="inlineStr">
        <is>
          <t>645 N Country Club Dr, Mesa, AZ 85201-4913</t>
        </is>
      </c>
      <c r="C96" s="10" t="n">
        <v>3.9</v>
      </c>
      <c r="D96" s="7" t="n">
        <v>196</v>
      </c>
      <c r="E96" s="5" t="inlineStr">
        <is>
          <t>mf</t>
        </is>
      </c>
      <c r="F96" s="8" t="n">
        <v>1979</v>
      </c>
      <c r="G96" s="5" t="inlineStr">
        <is>
          <t>outside the service's preselection of 20: its rents are tracked but no unit group was quoted for it, so it is listed nearby</t>
        </is>
      </c>
    </row>
    <row r="97">
      <c r="A97" s="5" t="inlineStr">
        <is>
          <t>Mesa Royale</t>
        </is>
      </c>
      <c r="B97" s="5" t="inlineStr">
        <is>
          <t>1825 N Stapley Dr, Mesa, AZ 85203</t>
        </is>
      </c>
      <c r="C97" s="10" t="n">
        <v>3.91</v>
      </c>
      <c r="D97" s="7" t="n">
        <v>153</v>
      </c>
      <c r="E97" s="5" t="inlineStr">
        <is>
          <t>mf</t>
        </is>
      </c>
      <c r="F97" s="8" t="n">
        <v>1985</v>
      </c>
      <c r="G97" s="5" t="inlineStr">
        <is>
          <t>excluded from comp sets by the tracker: age_restricted</t>
        </is>
      </c>
    </row>
    <row r="98">
      <c r="A98" s="5" t="inlineStr">
        <is>
          <t>Stone Canyon</t>
        </is>
      </c>
      <c r="B98" s="5" t="inlineStr">
        <is>
          <t>5210 E Hampton Ave, Mesa, AZ 85206-6788</t>
        </is>
      </c>
      <c r="C98" s="10" t="n">
        <v>3.91</v>
      </c>
      <c r="D98" s="7" t="n">
        <v>392</v>
      </c>
      <c r="E98" s="5" t="inlineStr">
        <is>
          <t>mf</t>
        </is>
      </c>
      <c r="F98" s="8" t="n">
        <v>2000</v>
      </c>
      <c r="G98" s="5" t="inlineStr">
        <is>
          <t>vintage 2000 is 19 years from the subject's 1981, outside the +/-10-year band</t>
        </is>
      </c>
    </row>
    <row r="99">
      <c r="A99" s="5" t="inlineStr">
        <is>
          <t>MAA City Gate</t>
        </is>
      </c>
      <c r="B99" s="5" t="inlineStr">
        <is>
          <t>5332 E Baseline Rd, Mesa, AZ 85206</t>
        </is>
      </c>
      <c r="C99" s="10" t="n">
        <v>3.93</v>
      </c>
      <c r="D99" s="7" t="n">
        <v>300</v>
      </c>
      <c r="E99" s="5" t="inlineStr">
        <is>
          <t>mf</t>
        </is>
      </c>
      <c r="F99" s="8" t="n">
        <v>2002</v>
      </c>
      <c r="G99" s="5" t="inlineStr">
        <is>
          <t>vintage 2002 is 21 years from the subject's 1981, outside the +/-10-year band</t>
        </is>
      </c>
    </row>
    <row r="100">
      <c r="A100" s="5" t="inlineStr">
        <is>
          <t>Fiesta Village</t>
        </is>
      </c>
      <c r="B100" s="5" t="inlineStr">
        <is>
          <t>960 W Southern Ave, Mesa, AZ 85210</t>
        </is>
      </c>
      <c r="C100" s="10" t="n">
        <v>3.94</v>
      </c>
      <c r="D100" s="7" t="n">
        <v>201</v>
      </c>
      <c r="E100" s="5" t="inlineStr">
        <is>
          <t>mf</t>
        </is>
      </c>
      <c r="F100" s="8" t="n">
        <v>1978</v>
      </c>
      <c r="G100" s="5" t="inlineStr">
        <is>
          <t>outside the service's preselection of 20: its rents are tracked but no unit group was quoted for it, so it is listed nearby</t>
        </is>
      </c>
    </row>
    <row r="101">
      <c r="A101" s="5" t="inlineStr">
        <is>
          <t>Island Palms</t>
        </is>
      </c>
      <c r="B101" s="5" t="inlineStr">
        <is>
          <t>5315 E Broadway Rd, Mesa, AZ 85206</t>
        </is>
      </c>
      <c r="C101" s="10" t="n">
        <v>4.04</v>
      </c>
      <c r="D101" s="7" t="n">
        <v>200</v>
      </c>
      <c r="E101" s="5" t="inlineStr">
        <is>
          <t>mf</t>
        </is>
      </c>
      <c r="F101" s="8" t="n">
        <v>1999</v>
      </c>
      <c r="G101" s="5" t="inlineStr">
        <is>
          <t>vintage 1999 is 18 years from the subject's 1981, outside the +/-10-year band</t>
        </is>
      </c>
    </row>
    <row r="102">
      <c r="A102" s="5" t="inlineStr">
        <is>
          <t>Reflections at Red Mountain</t>
        </is>
      </c>
      <c r="B102" s="5" t="inlineStr">
        <is>
          <t>2601 E McKellips Rd, Mesa, AZ 85213</t>
        </is>
      </c>
      <c r="C102" s="10" t="n">
        <v>4.05</v>
      </c>
      <c r="D102" s="7" t="n">
        <v>256</v>
      </c>
      <c r="E102" s="5" t="inlineStr">
        <is>
          <t>mf</t>
        </is>
      </c>
      <c r="F102" s="8" t="n">
        <v>1986</v>
      </c>
      <c r="G102" s="5" t="inlineStr">
        <is>
          <t>outside the service's preselection of 20: its rents are tracked but no unit group was quoted for it, so it is listed nearby</t>
        </is>
      </c>
    </row>
    <row r="103">
      <c r="A103" s="5" t="inlineStr">
        <is>
          <t>Metro on Main</t>
        </is>
      </c>
      <c r="B103" s="5" t="inlineStr">
        <is>
          <t>944 W Main St, Mesa, AZ 85201-7134</t>
        </is>
      </c>
      <c r="C103" s="10" t="n">
        <v>4.09</v>
      </c>
      <c r="D103" s="7" t="n">
        <v>336</v>
      </c>
      <c r="E103" s="5" t="inlineStr">
        <is>
          <t>mf</t>
        </is>
      </c>
      <c r="F103" s="8" t="n">
        <v>1982</v>
      </c>
      <c r="G103" s="5" t="inlineStr">
        <is>
          <t>outside the service's preselection of 20: its rents are tracked but no unit group was quoted for it, so it is listed nearby</t>
        </is>
      </c>
    </row>
    <row r="104">
      <c r="A104" s="5" t="inlineStr">
        <is>
          <t>Rise Valley Heights</t>
        </is>
      </c>
      <c r="B104" s="5" t="inlineStr">
        <is>
          <t>1050 W 8th Ave, Mesa, AZ 85210</t>
        </is>
      </c>
      <c r="C104" s="10" t="n">
        <v>4.12</v>
      </c>
      <c r="D104" s="7" t="n">
        <v>194</v>
      </c>
      <c r="E104" s="5" t="inlineStr">
        <is>
          <t>mf</t>
        </is>
      </c>
      <c r="F104" s="8" t="n">
        <v>1986</v>
      </c>
      <c r="G104" s="5" t="inlineStr">
        <is>
          <t>outside the service's preselection of 20: its rents are tracked but no unit group was quoted for it, so it is listed nearby</t>
        </is>
      </c>
    </row>
    <row r="105">
      <c r="A105" s="5" t="inlineStr">
        <is>
          <t>Stonegate Furnished Apartments</t>
        </is>
      </c>
      <c r="B105" s="5" t="inlineStr">
        <is>
          <t>825 S Alma School Rd, Mesa, AZ 85210-2003</t>
        </is>
      </c>
      <c r="C105" s="10" t="n">
        <v>4.17</v>
      </c>
      <c r="D105" s="7" t="n">
        <v>222</v>
      </c>
      <c r="E105" s="5" t="inlineStr">
        <is>
          <t>mf</t>
        </is>
      </c>
      <c r="F105" s="8" t="n">
        <v>1978</v>
      </c>
      <c r="G105" s="5" t="inlineStr">
        <is>
          <t>outside the service's preselection of 20: its rents are tracked but no unit group was quoted for it, so it is listed nearby</t>
        </is>
      </c>
    </row>
    <row r="106">
      <c r="A106" s="5" t="inlineStr">
        <is>
          <t>Beacon at 601</t>
        </is>
      </c>
      <c r="B106" s="5" t="inlineStr">
        <is>
          <t>601 S Alma School Rd, Mesa, AZ 85210</t>
        </is>
      </c>
      <c r="C106" s="10" t="n">
        <v>4.2</v>
      </c>
      <c r="D106" s="7" t="n">
        <v>276</v>
      </c>
      <c r="E106" s="5" t="inlineStr">
        <is>
          <t>mf</t>
        </is>
      </c>
      <c r="F106" s="8" t="n">
        <v>1984</v>
      </c>
      <c r="G106" s="5" t="inlineStr">
        <is>
          <t>outside the service's preselection of 20: its rents are tracked but no unit group was quoted for it, so it is listed nearby</t>
        </is>
      </c>
    </row>
    <row r="107">
      <c r="A107" s="5" t="inlineStr">
        <is>
          <t>The Reserve at Gilbert Towne Center</t>
        </is>
      </c>
      <c r="B107" s="5" t="inlineStr">
        <is>
          <t>351 E Civic Center Dr, Gilbert, AZ 85296-3401</t>
        </is>
      </c>
      <c r="C107" s="10" t="n">
        <v>4.2</v>
      </c>
      <c r="D107" s="7" t="n">
        <v>147</v>
      </c>
      <c r="E107" s="5" t="inlineStr">
        <is>
          <t>mf</t>
        </is>
      </c>
      <c r="F107" s="8" t="n">
        <v>2002</v>
      </c>
      <c r="G107" s="5" t="inlineStr">
        <is>
          <t>vintage 2002 is 21 years from the subject's 1981, outside the +/-10-year band</t>
        </is>
      </c>
    </row>
    <row r="108">
      <c r="A108" s="5" t="inlineStr">
        <is>
          <t>Cadia Crossing</t>
        </is>
      </c>
      <c r="B108" s="5" t="inlineStr">
        <is>
          <t>230 E Civic Center Dr, Gilbert, AZ 85296</t>
        </is>
      </c>
      <c r="C108" s="10" t="n">
        <v>4.21</v>
      </c>
      <c r="D108" s="7" t="n">
        <v>256</v>
      </c>
      <c r="E108" s="5" t="inlineStr">
        <is>
          <t>mf</t>
        </is>
      </c>
      <c r="F108" s="8" t="n">
        <v>2017</v>
      </c>
      <c r="G108" s="5" t="inlineStr">
        <is>
          <t>vintage 2017 is 36 years from the subject's 1981, outside the +/-10-year band</t>
        </is>
      </c>
    </row>
    <row r="109">
      <c r="A109" s="5" t="inlineStr">
        <is>
          <t>Sonoran Palms</t>
        </is>
      </c>
      <c r="B109" s="5" t="inlineStr">
        <is>
          <t>900 N Country Club Dr, Mesa, AZ 85201</t>
        </is>
      </c>
      <c r="C109" s="10" t="n">
        <v>4.21</v>
      </c>
      <c r="D109" s="7" t="n">
        <v>206</v>
      </c>
      <c r="E109" s="5" t="inlineStr">
        <is>
          <t>mf</t>
        </is>
      </c>
      <c r="F109" s="8" t="n">
        <v>1978</v>
      </c>
      <c r="G109" s="5" t="inlineStr">
        <is>
          <t>outside the service's preselection of 20: its rents are tracked but no unit group was quoted for it, so it is listed nearby</t>
        </is>
      </c>
    </row>
    <row r="110">
      <c r="A110" s="5" t="inlineStr">
        <is>
          <t>The Landing at Fiesta Village</t>
        </is>
      </c>
      <c r="B110" s="5" t="inlineStr">
        <is>
          <t>1310 W Southern Ave, Mesa, AZ 85202-4855</t>
        </is>
      </c>
      <c r="C110" s="10" t="n">
        <v>4.32</v>
      </c>
      <c r="D110" s="7" t="n">
        <v>220</v>
      </c>
      <c r="E110" s="5" t="inlineStr">
        <is>
          <t>mf</t>
        </is>
      </c>
      <c r="F110" s="8" t="n">
        <v>2022</v>
      </c>
      <c r="G110" s="5" t="inlineStr">
        <is>
          <t>vintage 2022 is 41 years from the subject's 1981, outside the +/-10-year band</t>
        </is>
      </c>
    </row>
    <row r="111">
      <c r="A111" s="5" t="inlineStr">
        <is>
          <t>Vetra Mesa</t>
        </is>
      </c>
      <c r="B111" s="5" t="inlineStr">
        <is>
          <t>1055 W Baseline Rd, Mesa, AZ 85210-9502</t>
        </is>
      </c>
      <c r="C111" s="10" t="n">
        <v>4.32</v>
      </c>
      <c r="D111" s="7" t="n">
        <v>200</v>
      </c>
      <c r="E111" s="5" t="inlineStr">
        <is>
          <t>mf</t>
        </is>
      </c>
      <c r="F111" s="8" t="n">
        <v>1984</v>
      </c>
      <c r="G111" s="5" t="inlineStr">
        <is>
          <t>outside the service's preselection of 20: its rents are tracked but no unit group was quoted for it, so it is listed nearby</t>
        </is>
      </c>
    </row>
    <row r="112">
      <c r="A112" s="5" t="inlineStr">
        <is>
          <t>Town Commons</t>
        </is>
      </c>
      <c r="B112" s="5" t="inlineStr">
        <is>
          <t>1000 S Gilbert Rd, Gilbert, AZ 85296-3400</t>
        </is>
      </c>
      <c r="C112" s="10" t="n">
        <v>4.33</v>
      </c>
      <c r="D112" s="7" t="n">
        <v>306</v>
      </c>
      <c r="E112" s="5" t="inlineStr">
        <is>
          <t>mf</t>
        </is>
      </c>
      <c r="F112" s="8" t="n">
        <v>2017</v>
      </c>
      <c r="G112" s="5" t="inlineStr">
        <is>
          <t>vintage 2017 is 36 years from the subject's 1981, outside the +/-10-year band</t>
        </is>
      </c>
    </row>
    <row r="113">
      <c r="A113" s="5" t="inlineStr">
        <is>
          <t>Lemon &amp; Pear Tree Apartments</t>
        </is>
      </c>
      <c r="B113" s="5" t="inlineStr">
        <is>
          <t>1750 S Alma School Rd, Mesa, AZ 85210-3016</t>
        </is>
      </c>
      <c r="C113" s="10" t="n">
        <v>4.36</v>
      </c>
      <c r="D113" s="7" t="n">
        <v>163</v>
      </c>
      <c r="E113" s="5" t="inlineStr">
        <is>
          <t>mf</t>
        </is>
      </c>
      <c r="F113" s="8" t="n">
        <v>1981</v>
      </c>
      <c r="G113" s="5" t="inlineStr">
        <is>
          <t>outside the service's preselection of 20: its rents are tracked but no unit group was quoted for it, so it is listed nearby</t>
        </is>
      </c>
    </row>
    <row r="114">
      <c r="A114" s="5" t="inlineStr">
        <is>
          <t>Alcove at the Islands</t>
        </is>
      </c>
      <c r="B114" s="5" t="inlineStr">
        <is>
          <t>1300 W Warner Rd, Gilbert, AZ 85233-7024</t>
        </is>
      </c>
      <c r="C114" s="10" t="n">
        <v>4.38</v>
      </c>
      <c r="D114" s="7" t="n">
        <v>272</v>
      </c>
      <c r="E114" s="5" t="inlineStr">
        <is>
          <t>mf</t>
        </is>
      </c>
      <c r="F114" s="8" t="n">
        <v>1989</v>
      </c>
      <c r="G114" s="5" t="inlineStr">
        <is>
          <t>outside the service's preselection of 20: its rents are tracked but no unit group was quoted for it, so it is listed nearby</t>
        </is>
      </c>
    </row>
    <row r="115">
      <c r="A115" s="5" t="inlineStr">
        <is>
          <t>Garrett Uptown</t>
        </is>
      </c>
      <c r="B115" s="5" t="inlineStr">
        <is>
          <t>3033 N Arizona Ave, Chandler, AZ 85225</t>
        </is>
      </c>
      <c r="C115" s="10" t="n">
        <v>4.4</v>
      </c>
      <c r="D115" s="7" t="n">
        <v>252</v>
      </c>
      <c r="E115" s="5" t="inlineStr">
        <is>
          <t>mf</t>
        </is>
      </c>
      <c r="F115" s="8" t="n">
        <v>2026</v>
      </c>
      <c r="G115" s="5" t="inlineStr">
        <is>
          <t>vintage 2026 is 45 years from the subject's 1981, outside the +/-10-year band</t>
        </is>
      </c>
    </row>
    <row r="116">
      <c r="A116" s="5" t="inlineStr">
        <is>
          <t>Level 550</t>
        </is>
      </c>
      <c r="B116" s="5" t="inlineStr">
        <is>
          <t>550 E McKellips Rd, Mesa, AZ 85203</t>
        </is>
      </c>
      <c r="C116" s="10" t="n">
        <v>4.5</v>
      </c>
      <c r="D116" s="7" t="n">
        <v>314</v>
      </c>
      <c r="E116" s="5" t="inlineStr">
        <is>
          <t>mf</t>
        </is>
      </c>
      <c r="F116" s="8" t="n">
        <v>1987</v>
      </c>
      <c r="G116" s="5" t="inlineStr">
        <is>
          <t>outside the service's preselection of 20: its rents are tracked but no unit group was quoted for it, so it is listed nearby</t>
        </is>
      </c>
    </row>
    <row r="117">
      <c r="A117" s="5" t="inlineStr">
        <is>
          <t>Alante at the Islands</t>
        </is>
      </c>
      <c r="B117" s="5" t="inlineStr">
        <is>
          <t>2222 N McQueen Rd, Chandler, AZ 85225</t>
        </is>
      </c>
      <c r="C117" s="10" t="n">
        <v>4.52</v>
      </c>
      <c r="D117" s="7" t="n">
        <v>320</v>
      </c>
      <c r="E117" s="5" t="inlineStr">
        <is>
          <t>mf</t>
        </is>
      </c>
      <c r="F117" s="8" t="n">
        <v>1996</v>
      </c>
      <c r="G117" s="5" t="inlineStr">
        <is>
          <t>vintage 1996 is 15 years from the subject's 1981, outside the +/-10-year band</t>
        </is>
      </c>
    </row>
    <row r="118">
      <c r="A118" s="5" t="inlineStr">
        <is>
          <t>Country Club Verandas Apartments</t>
        </is>
      </c>
      <c r="B118" s="5" t="inlineStr">
        <is>
          <t>1415 N Country Club Dr, Mesa, AZ 85201-2546</t>
        </is>
      </c>
      <c r="C118" s="10" t="n">
        <v>4.58</v>
      </c>
      <c r="D118" s="7" t="n">
        <v>348</v>
      </c>
      <c r="E118" s="5" t="inlineStr">
        <is>
          <t>mf</t>
        </is>
      </c>
      <c r="F118" s="8" t="n">
        <v>1985</v>
      </c>
      <c r="G118" s="5" t="inlineStr">
        <is>
          <t>outside the service's preselection of 20: its rents are tracked but no unit group was quoted for it, so it is listed nearby</t>
        </is>
      </c>
    </row>
    <row r="119">
      <c r="A119" s="5" t="inlineStr">
        <is>
          <t>The District at Fiesta Park</t>
        </is>
      </c>
      <c r="B119" s="5" t="inlineStr">
        <is>
          <t>1033 S Longmore St, Mesa, AZ 85202</t>
        </is>
      </c>
      <c r="C119" s="10" t="n">
        <v>4.58</v>
      </c>
      <c r="D119" s="7" t="n">
        <v>321</v>
      </c>
      <c r="E119" s="5" t="inlineStr">
        <is>
          <t>mf</t>
        </is>
      </c>
      <c r="F119" s="8" t="n">
        <v>1979</v>
      </c>
      <c r="G119" s="5" t="inlineStr">
        <is>
          <t>outside the service's preselection of 20: its rents are tracked but no unit group was quoted for it, so it is listed nearby</t>
        </is>
      </c>
    </row>
    <row r="120">
      <c r="A120" s="5" t="inlineStr">
        <is>
          <t>Atlas Mesa</t>
        </is>
      </c>
      <c r="B120" s="5" t="inlineStr">
        <is>
          <t>5818 E Baseline Rd, Mesa, AZ 85206</t>
        </is>
      </c>
      <c r="C120" s="10" t="n">
        <v>4.62</v>
      </c>
      <c r="D120" s="7" t="n">
        <v>394</v>
      </c>
      <c r="E120" s="5" t="inlineStr">
        <is>
          <t>mf</t>
        </is>
      </c>
      <c r="F120" s="8" t="n">
        <v>2026</v>
      </c>
      <c r="G120" s="5" t="inlineStr">
        <is>
          <t>vintage 2026 is 45 years from the subject's 1981, outside the +/-10-year band</t>
        </is>
      </c>
    </row>
    <row r="121">
      <c r="A121" s="5" t="inlineStr">
        <is>
          <t>Westmount at the District</t>
        </is>
      </c>
      <c r="B121" s="5" t="inlineStr">
        <is>
          <t>949 S Longmore, Mesa, AZ 85202-4364</t>
        </is>
      </c>
      <c r="C121" s="10" t="n">
        <v>4.62</v>
      </c>
      <c r="D121" s="7" t="n">
        <v>154</v>
      </c>
      <c r="E121" s="5" t="inlineStr">
        <is>
          <t>mf</t>
        </is>
      </c>
      <c r="F121" s="8" t="n">
        <v>1979</v>
      </c>
      <c r="G121" s="5" t="inlineStr">
        <is>
          <t>outside the service's preselection of 20: its rents are tracked but no unit group was quoted for it, so it is listed nearby</t>
        </is>
      </c>
    </row>
    <row r="122">
      <c r="A122" s="5" t="inlineStr">
        <is>
          <t>Desert Jewel Apartments</t>
        </is>
      </c>
      <c r="B122" s="5" t="inlineStr">
        <is>
          <t>2800 N Arizona Ave, Chandler, AZ 85225</t>
        </is>
      </c>
      <c r="C122" s="10" t="n">
        <v>4.63</v>
      </c>
      <c r="D122" s="7" t="n">
        <v>184</v>
      </c>
      <c r="E122" s="5" t="inlineStr">
        <is>
          <t>mf</t>
        </is>
      </c>
      <c r="F122" s="8" t="n">
        <v>2003</v>
      </c>
      <c r="G122" s="5" t="inlineStr">
        <is>
          <t>vintage 2003 is 22 years from the subject's 1981, outside the +/-10-year band</t>
        </is>
      </c>
    </row>
    <row r="123">
      <c r="A123" s="5" t="inlineStr">
        <is>
          <t>Del Coronado</t>
        </is>
      </c>
      <c r="B123" s="5" t="inlineStr">
        <is>
          <t>843 S Longmore, Mesa, AZ 85202-3153</t>
        </is>
      </c>
      <c r="C123" s="10" t="n">
        <v>4.69</v>
      </c>
      <c r="D123" s="7" t="n">
        <v>419</v>
      </c>
      <c r="E123" s="5" t="inlineStr">
        <is>
          <t>mf</t>
        </is>
      </c>
      <c r="F123" s="8" t="n">
        <v>1984</v>
      </c>
      <c r="G123" s="5" t="inlineStr">
        <is>
          <t>outside the service's preselection of 20: its rents are tracked but no unit group was quoted for it, so it is listed nearby</t>
        </is>
      </c>
    </row>
    <row r="124">
      <c r="A124" s="5" t="inlineStr">
        <is>
          <t>The Place at El Prado</t>
        </is>
      </c>
      <c r="B124" s="5" t="inlineStr">
        <is>
          <t>1050 S Longmore, Mesa, AZ 85202</t>
        </is>
      </c>
      <c r="C124" s="10" t="n">
        <v>4.74</v>
      </c>
      <c r="D124" s="7" t="n">
        <v>432</v>
      </c>
      <c r="E124" s="5" t="inlineStr">
        <is>
          <t>mf</t>
        </is>
      </c>
      <c r="F124" s="8" t="n">
        <v>1979</v>
      </c>
      <c r="G124" s="5" t="inlineStr">
        <is>
          <t>outside the service's preselection of 20: its rents are tracked but no unit group was quoted for it, so it is listed nearby</t>
        </is>
      </c>
    </row>
    <row r="125">
      <c r="A125" s="5" t="inlineStr">
        <is>
          <t>Vista Valley</t>
        </is>
      </c>
      <c r="B125" s="5" t="inlineStr">
        <is>
          <t>922 S Longmore St, Mesa, AZ 85202</t>
        </is>
      </c>
      <c r="C125" s="10" t="n">
        <v>4.74</v>
      </c>
      <c r="D125" s="7" t="n">
        <v>357</v>
      </c>
      <c r="E125" s="5" t="inlineStr">
        <is>
          <t>mf</t>
        </is>
      </c>
      <c r="F125" s="8" t="n">
        <v>1986</v>
      </c>
      <c r="G125" s="5" t="inlineStr">
        <is>
          <t>outside the service's preselection of 20: its rents are tracked but no unit group was quoted for it, so it is listed nearby</t>
        </is>
      </c>
    </row>
    <row r="126">
      <c r="A126" s="5" t="inlineStr">
        <is>
          <t>Westmount at Urban Trails</t>
        </is>
      </c>
      <c r="B126" s="5" t="inlineStr">
        <is>
          <t>1620 W Southern Ave, Mesa, AZ 85202-4828</t>
        </is>
      </c>
      <c r="C126" s="10" t="n">
        <v>4.78</v>
      </c>
      <c r="D126" s="7" t="n">
        <v>156</v>
      </c>
      <c r="E126" s="5" t="inlineStr">
        <is>
          <t>mf</t>
        </is>
      </c>
      <c r="F126" s="8" t="n">
        <v>1974</v>
      </c>
      <c r="G126" s="5" t="inlineStr">
        <is>
          <t>outside the service's preselection of 20: its rents are tracked but no unit group was quoted for it, so it is listed nearby</t>
        </is>
      </c>
    </row>
    <row r="127">
      <c r="A127" s="5" t="inlineStr">
        <is>
          <t>Albany Apartments</t>
        </is>
      </c>
      <c r="B127" s="5" t="inlineStr">
        <is>
          <t>33 N 58th St, Mesa, AZ 85205-8804</t>
        </is>
      </c>
      <c r="C127" s="10" t="n">
        <v>4.85</v>
      </c>
      <c r="D127" s="7" t="n">
        <v>98</v>
      </c>
      <c r="E127" s="5" t="inlineStr">
        <is>
          <t>mf</t>
        </is>
      </c>
      <c r="F127" s="8" t="n">
        <v>1972</v>
      </c>
      <c r="G127" s="5" t="inlineStr">
        <is>
          <t>excluded from comp sets by the tracker: age_restricted</t>
        </is>
      </c>
    </row>
    <row r="128">
      <c r="A128" s="5" t="inlineStr">
        <is>
          <t>Alta Uptown</t>
        </is>
      </c>
      <c r="B128" s="5" t="inlineStr">
        <is>
          <t>123 E Corporate Pl, Chandler, AZ 85225-1002</t>
        </is>
      </c>
      <c r="C128" s="10" t="n">
        <v>4.85</v>
      </c>
      <c r="D128" s="7" t="n">
        <v>415</v>
      </c>
      <c r="E128" s="5" t="inlineStr">
        <is>
          <t>mf</t>
        </is>
      </c>
      <c r="F128" s="8" t="n">
        <v>2024</v>
      </c>
      <c r="G128" s="5" t="inlineStr">
        <is>
          <t>vintage 2024 is 43 years from the subject's 1981, outside the +/-10-year band</t>
        </is>
      </c>
    </row>
    <row r="129">
      <c r="A129" s="5" t="inlineStr">
        <is>
          <t>Sandstone Apartments</t>
        </is>
      </c>
      <c r="B129" s="5" t="inlineStr">
        <is>
          <t>1727 W Emelita Ave, Mesa, AZ 85202-3104</t>
        </is>
      </c>
      <c r="C129" s="10" t="n">
        <v>4.92</v>
      </c>
      <c r="D129" s="7" t="n">
        <v>234</v>
      </c>
      <c r="E129" s="5" t="inlineStr">
        <is>
          <t>mf</t>
        </is>
      </c>
      <c r="F129" s="8" t="n">
        <v>1986</v>
      </c>
      <c r="G129" s="5" t="inlineStr">
        <is>
          <t>outside the service's preselection of 20: its rents are tracked but no unit group was quoted for it, so it is listed nearby</t>
        </is>
      </c>
    </row>
    <row r="130">
      <c r="A130" s="5" t="inlineStr">
        <is>
          <t>The Link</t>
        </is>
      </c>
      <c r="B130" s="5" t="inlineStr">
        <is>
          <t>1457 W University Dr, Mesa, AZ 85201-5426</t>
        </is>
      </c>
      <c r="C130" s="10" t="n">
        <v>4.93</v>
      </c>
      <c r="D130" s="7" t="n">
        <v>199</v>
      </c>
      <c r="E130" s="5" t="inlineStr">
        <is>
          <t>mf</t>
        </is>
      </c>
      <c r="F130" s="8" t="n">
        <v>1970</v>
      </c>
      <c r="G130" s="5" t="inlineStr">
        <is>
          <t>vintage 1970 is 11 years from the subject's 1981, outside the +/-10-year band</t>
        </is>
      </c>
    </row>
    <row r="131">
      <c r="A131" s="5" t="inlineStr">
        <is>
          <t>Biscayne Bay</t>
        </is>
      </c>
      <c r="B131" s="5" t="inlineStr">
        <is>
          <t>300 E Warner Rd, Chandler, AZ 85225</t>
        </is>
      </c>
      <c r="C131" s="10" t="n">
        <v>4.95</v>
      </c>
      <c r="D131" s="7" t="n">
        <v>512</v>
      </c>
      <c r="E131" s="5" t="inlineStr">
        <is>
          <t>mf</t>
        </is>
      </c>
      <c r="F131" s="8" t="n">
        <v>2000</v>
      </c>
      <c r="G131" s="5" t="inlineStr">
        <is>
          <t>vintage 2000 is 19 years from the subject's 1981, outside the +/-10-year band</t>
        </is>
      </c>
    </row>
    <row r="132">
      <c r="A132" s="5" t="inlineStr">
        <is>
          <t>Sycamore Square</t>
        </is>
      </c>
      <c r="B132" s="5" t="inlineStr">
        <is>
          <t>1120 S Sycamore, Mesa, AZ 85202-4007</t>
        </is>
      </c>
      <c r="C132" s="10" t="n">
        <v>4.97</v>
      </c>
      <c r="D132" s="7" t="n">
        <v>120</v>
      </c>
      <c r="E132" s="5" t="inlineStr">
        <is>
          <t>mf</t>
        </is>
      </c>
      <c r="F132" s="8" t="n">
        <v>1979</v>
      </c>
      <c r="G132" s="5" t="inlineStr">
        <is>
          <t>outside the service's preselection of 20: its rents are tracked but no unit group was quoted for it, so it is listed nearby</t>
        </is>
      </c>
    </row>
    <row r="133">
      <c r="A133" s="5" t="inlineStr">
        <is>
          <t>Villetta</t>
        </is>
      </c>
      <c r="B133" s="5" t="inlineStr">
        <is>
          <t>1840 W Emelita Ave, Mesa, AZ 85202</t>
        </is>
      </c>
      <c r="C133" s="10" t="n">
        <v>4.97</v>
      </c>
      <c r="D133" s="7" t="n">
        <v>352</v>
      </c>
      <c r="E133" s="5" t="inlineStr">
        <is>
          <t>mf</t>
        </is>
      </c>
      <c r="F133" s="8" t="n">
        <v>1983</v>
      </c>
      <c r="G133" s="5" t="inlineStr">
        <is>
          <t>outside the service's preselection of 20: its rents are tracked but no unit group was quoted for it, so it is listed nearby</t>
        </is>
      </c>
    </row>
    <row r="134">
      <c r="A134" s="5" t="inlineStr">
        <is>
          <t>Rise on Country Club</t>
        </is>
      </c>
      <c r="B134" s="5" t="inlineStr">
        <is>
          <t>1903 N Country Club Dr, Mesa, AZ 85201</t>
        </is>
      </c>
      <c r="C134" s="10" t="n">
        <v>5.02</v>
      </c>
      <c r="D134" s="7" t="n">
        <v>272</v>
      </c>
      <c r="E134" s="5" t="inlineStr">
        <is>
          <t>mf</t>
        </is>
      </c>
      <c r="F134" s="8" t="n">
        <v>1979</v>
      </c>
      <c r="G134" s="5" t="inlineStr">
        <is>
          <t>outside the service's preselection of 20: its rents are tracked but no unit group was quoted for it, so it is listed nearby</t>
        </is>
      </c>
    </row>
    <row r="135">
      <c r="A135" s="5" t="inlineStr">
        <is>
          <t>San Cierra</t>
        </is>
      </c>
      <c r="B135" s="5" t="inlineStr">
        <is>
          <t>2400 N Arizona Ave, Chandler, AZ 85225-1205</t>
        </is>
      </c>
      <c r="C135" s="10" t="n">
        <v>5.04</v>
      </c>
      <c r="D135" s="7" t="n">
        <v>332</v>
      </c>
      <c r="E135" s="5" t="inlineStr">
        <is>
          <t>mf</t>
        </is>
      </c>
      <c r="F135" s="8" t="n">
        <v>2004</v>
      </c>
      <c r="G135" s="5" t="inlineStr">
        <is>
          <t>vintage 2004 is 23 years from the subject's 1981, outside the +/-10-year band</t>
        </is>
      </c>
    </row>
    <row r="136">
      <c r="A136" s="5" t="inlineStr">
        <is>
          <t>Luxe 1930</t>
        </is>
      </c>
      <c r="B136" s="5" t="inlineStr">
        <is>
          <t>1930 N Country Club Dr, Mesa, AZ 85201-1778</t>
        </is>
      </c>
      <c r="C136" s="10" t="n">
        <v>5.09</v>
      </c>
      <c r="D136" s="7" t="n">
        <v>205</v>
      </c>
      <c r="E136" s="5" t="inlineStr">
        <is>
          <t>mf</t>
        </is>
      </c>
      <c r="F136" s="8" t="n">
        <v>2000</v>
      </c>
      <c r="G136" s="5" t="inlineStr">
        <is>
          <t>vintage 2000 is 19 years from the subject's 1981, outside the +/-10-year band</t>
        </is>
      </c>
    </row>
    <row r="137">
      <c r="A137" s="5" t="inlineStr">
        <is>
          <t>Sorrento Apartments</t>
        </is>
      </c>
      <c r="B137" s="5" t="inlineStr">
        <is>
          <t>901 S Dobson Rd, Mesa, AZ 85202</t>
        </is>
      </c>
      <c r="C137" s="10" t="n">
        <v>5.16</v>
      </c>
      <c r="D137" s="7" t="n">
        <v>226</v>
      </c>
      <c r="E137" s="5" t="inlineStr">
        <is>
          <t>mf</t>
        </is>
      </c>
      <c r="F137" s="8" t="n">
        <v>1982</v>
      </c>
      <c r="G137" s="5" t="inlineStr">
        <is>
          <t>outside the service's preselection of 20: its rents are tracked but no unit group was quoted for it, so it is listed nearby</t>
        </is>
      </c>
    </row>
    <row r="138">
      <c r="A138" s="5" t="inlineStr">
        <is>
          <t>Waterstone</t>
        </is>
      </c>
      <c r="B138" s="5" t="inlineStr">
        <is>
          <t>1651 S Dobson Rd, Mesa, AZ 85202-5617</t>
        </is>
      </c>
      <c r="C138" s="10" t="n">
        <v>5.18</v>
      </c>
      <c r="D138" s="7" t="n">
        <v>269</v>
      </c>
      <c r="E138" s="5" t="inlineStr">
        <is>
          <t>mf</t>
        </is>
      </c>
      <c r="F138" s="8" t="n">
        <v>1979</v>
      </c>
      <c r="G138" s="5" t="inlineStr">
        <is>
          <t>outside the service's preselection of 20: its rents are tracked but no unit group was quoted for it, so it is listed nearby</t>
        </is>
      </c>
    </row>
    <row r="139">
      <c r="A139" s="5" t="inlineStr">
        <is>
          <t>Madera Point</t>
        </is>
      </c>
      <c r="B139" s="5" t="inlineStr">
        <is>
          <t>445 S Dobson Rd, Mesa, AZ 85202</t>
        </is>
      </c>
      <c r="C139" s="10" t="n">
        <v>5.21</v>
      </c>
      <c r="D139" s="7" t="n">
        <v>256</v>
      </c>
      <c r="E139" s="5" t="inlineStr">
        <is>
          <t>mf</t>
        </is>
      </c>
      <c r="F139" s="8" t="n">
        <v>1985</v>
      </c>
      <c r="G139" s="5" t="inlineStr">
        <is>
          <t>outside the service's preselection of 20: its rents are tracked but no unit group was quoted for it, so it is listed nearby</t>
        </is>
      </c>
    </row>
    <row r="140">
      <c r="A140" s="5" t="inlineStr">
        <is>
          <t>Discovery Point</t>
        </is>
      </c>
      <c r="B140" s="5" t="inlineStr">
        <is>
          <t>6210 E Arbor Ave, Mesa, AZ 85206-1681</t>
        </is>
      </c>
      <c r="C140" s="10" t="n">
        <v>5.22</v>
      </c>
      <c r="D140" s="7" t="n">
        <v>183</v>
      </c>
      <c r="E140" s="5" t="inlineStr">
        <is>
          <t>mf</t>
        </is>
      </c>
      <c r="F140" s="8" t="n">
        <v>1995</v>
      </c>
      <c r="G140" s="5" t="inlineStr">
        <is>
          <t>excluded from comp sets by the tracker: age_restricted</t>
        </is>
      </c>
    </row>
    <row r="141">
      <c r="A141" s="5" t="inlineStr">
        <is>
          <t>Autumn Creek Apartments</t>
        </is>
      </c>
      <c r="B141" s="5" t="inlineStr">
        <is>
          <t>1320 N McQueen Rd, Chandler, AZ 85225-1419</t>
        </is>
      </c>
      <c r="C141" s="10" t="n">
        <v>5.27</v>
      </c>
      <c r="D141" s="7" t="n">
        <v>360</v>
      </c>
      <c r="E141" s="5" t="inlineStr">
        <is>
          <t>mf</t>
        </is>
      </c>
      <c r="F141" s="8" t="n">
        <v>1986</v>
      </c>
      <c r="G141" s="5" t="inlineStr">
        <is>
          <t>outside the service's preselection of 20: its rents are tracked but no unit group was quoted for it, so it is listed nearby</t>
        </is>
      </c>
    </row>
    <row r="142">
      <c r="A142" s="5" t="inlineStr">
        <is>
          <t>Bella Grace</t>
        </is>
      </c>
      <c r="B142" s="5" t="inlineStr">
        <is>
          <t>2121 N Grace Blvd, Chandler, AZ 85225</t>
        </is>
      </c>
      <c r="C142" s="10" t="n">
        <v>5.32</v>
      </c>
      <c r="D142" s="7" t="n">
        <v>194</v>
      </c>
      <c r="E142" s="5" t="inlineStr">
        <is>
          <t>bfr</t>
        </is>
      </c>
      <c r="F142" s="8" t="n">
        <v>2015</v>
      </c>
      <c r="G142" s="5" t="inlineStr">
        <is>
          <t>different product: tracked as bfr, subject is MF</t>
        </is>
      </c>
    </row>
    <row r="143">
      <c r="A143" s="5" t="inlineStr">
        <is>
          <t>Emerald Apartments</t>
        </is>
      </c>
      <c r="B143" s="5" t="inlineStr">
        <is>
          <t>1030 S Dobson Rd, Mesa, AZ 85202</t>
        </is>
      </c>
      <c r="C143" s="10" t="n">
        <v>5.32</v>
      </c>
      <c r="D143" s="7" t="n">
        <v>324</v>
      </c>
      <c r="E143" s="5" t="inlineStr">
        <is>
          <t>mf</t>
        </is>
      </c>
      <c r="F143" s="8" t="n">
        <v>1975</v>
      </c>
      <c r="G143" s="5" t="inlineStr">
        <is>
          <t>outside the service's preselection of 20: its rents are tracked but no unit group was quoted for it, so it is listed nearby</t>
        </is>
      </c>
    </row>
    <row r="144">
      <c r="A144" s="5" t="inlineStr">
        <is>
          <t>La Costa at Dobson Ranch</t>
        </is>
      </c>
      <c r="B144" s="5" t="inlineStr">
        <is>
          <t>1820 W Lindner Ave, Mesa, AZ 85202-6543</t>
        </is>
      </c>
      <c r="C144" s="10" t="n">
        <v>5.32</v>
      </c>
      <c r="D144" s="7" t="n">
        <v>194</v>
      </c>
      <c r="E144" s="5" t="inlineStr">
        <is>
          <t>mf</t>
        </is>
      </c>
      <c r="F144" s="8" t="n">
        <v>1979</v>
      </c>
      <c r="G144" s="5" t="inlineStr">
        <is>
          <t>outside the service's preselection of 20: its rents are tracked but no unit group was quoted for it, so it is listed nearby</t>
        </is>
      </c>
    </row>
    <row r="145">
      <c r="A145" s="5" t="inlineStr">
        <is>
          <t>The Flats</t>
        </is>
      </c>
      <c r="B145" s="5" t="inlineStr">
        <is>
          <t>1045 S San Jose St, Mesa, AZ 85202</t>
        </is>
      </c>
      <c r="C145" s="10" t="n">
        <v>5.38</v>
      </c>
      <c r="D145" s="7" t="n">
        <v>112</v>
      </c>
      <c r="E145" s="5" t="inlineStr">
        <is>
          <t>mf</t>
        </is>
      </c>
      <c r="F145" s="8" t="n">
        <v>1974</v>
      </c>
      <c r="G145" s="5" t="inlineStr">
        <is>
          <t>outside the service's preselection of 20: its rents are tracked but no unit group was quoted for it, so it is listed nearby</t>
        </is>
      </c>
    </row>
    <row r="146">
      <c r="A146" s="5" t="inlineStr">
        <is>
          <t>The Pomeroy</t>
        </is>
      </c>
      <c r="B146" s="5" t="inlineStr">
        <is>
          <t>139 N Dobson Rd, Mesa, AZ 85201</t>
        </is>
      </c>
      <c r="C146" s="10" t="n">
        <v>5.42</v>
      </c>
      <c r="D146" s="7" t="n">
        <v>245</v>
      </c>
      <c r="E146" s="5" t="inlineStr">
        <is>
          <t>mf</t>
        </is>
      </c>
      <c r="F146" s="8" t="n">
        <v>2025</v>
      </c>
      <c r="G146" s="5" t="inlineStr">
        <is>
          <t>vintage 2025 is 44 years from the subject's 1981, outside the +/-10-year band</t>
        </is>
      </c>
    </row>
    <row r="147">
      <c r="A147" s="5" t="inlineStr">
        <is>
          <t>San Jose Manor Apartments</t>
        </is>
      </c>
      <c r="B147" s="5" t="inlineStr">
        <is>
          <t>1112 S San Jose St, Mesa, AZ 85202</t>
        </is>
      </c>
      <c r="C147" s="10" t="n">
        <v>5.43</v>
      </c>
      <c r="D147" s="7" t="n">
        <v>176</v>
      </c>
      <c r="E147" s="5" t="inlineStr">
        <is>
          <t>mf</t>
        </is>
      </c>
      <c r="F147" s="8" t="n">
        <v>1976</v>
      </c>
      <c r="G147" s="5" t="inlineStr">
        <is>
          <t>outside the service's preselection of 20: its rents are tracked but no unit group was quoted for it, so it is listed nearby</t>
        </is>
      </c>
    </row>
    <row r="148">
      <c r="A148" s="5" t="inlineStr">
        <is>
          <t>Broadway Vista</t>
        </is>
      </c>
      <c r="B148" s="5" t="inlineStr">
        <is>
          <t>2107 W Broadway Rd, Mesa, AZ 85202</t>
        </is>
      </c>
      <c r="C148" s="10" t="n">
        <v>5.44</v>
      </c>
      <c r="D148" s="7" t="n">
        <v>155</v>
      </c>
      <c r="E148" s="5" t="inlineStr">
        <is>
          <t>mf</t>
        </is>
      </c>
      <c r="F148" s="8" t="n">
        <v>1983</v>
      </c>
      <c r="G148" s="5" t="inlineStr">
        <is>
          <t>outside the service's preselection of 20: its rents are tracked but no unit group was quoted for it, so it is listed nearby</t>
        </is>
      </c>
    </row>
    <row r="149">
      <c r="A149" s="5" t="inlineStr">
        <is>
          <t>Marigold Ranch at San Tan Village</t>
        </is>
      </c>
      <c r="B149" s="5" t="inlineStr">
        <is>
          <t>2120 E Ray Rd, Gilbert, AZ 85296</t>
        </is>
      </c>
      <c r="C149" s="10" t="n">
        <v>5.44</v>
      </c>
      <c r="D149" s="7" t="n">
        <v>159</v>
      </c>
      <c r="E149" s="5" t="inlineStr">
        <is>
          <t>mf</t>
        </is>
      </c>
      <c r="F149" s="8" t="n">
        <v>2024</v>
      </c>
      <c r="G149" s="5" t="inlineStr">
        <is>
          <t>vintage 2024 is 43 years from the subject's 1981, outside the +/-10-year band</t>
        </is>
      </c>
    </row>
    <row r="150">
      <c r="A150" s="5" t="inlineStr">
        <is>
          <t>San Hacienda Apartments</t>
        </is>
      </c>
      <c r="B150" s="5" t="inlineStr">
        <is>
          <t>1600 N Arizona Ave, Chandler, AZ 85225-7002</t>
        </is>
      </c>
      <c r="C150" s="10" t="n">
        <v>5.48</v>
      </c>
      <c r="D150" s="7" t="n">
        <v>280</v>
      </c>
      <c r="E150" s="5" t="inlineStr">
        <is>
          <t>mf</t>
        </is>
      </c>
      <c r="F150" s="8" t="n">
        <v>2007</v>
      </c>
      <c r="G150" s="5" t="inlineStr">
        <is>
          <t>vintage 2007 is 26 years from the subject's 1981, outside the +/-10-year band</t>
        </is>
      </c>
    </row>
    <row r="151">
      <c r="A151" s="5" t="inlineStr">
        <is>
          <t>Silo Morrison Ranch</t>
        </is>
      </c>
      <c r="B151" s="5" t="inlineStr">
        <is>
          <t>3340 E Warner Rd, Gilbert, AZ 85296</t>
        </is>
      </c>
      <c r="C151" s="10" t="n">
        <v>5.49</v>
      </c>
      <c r="D151" s="7" t="n">
        <v>231</v>
      </c>
      <c r="E151" s="5" t="inlineStr">
        <is>
          <t>mf</t>
        </is>
      </c>
      <c r="F151" s="8" t="n">
        <v>2026</v>
      </c>
      <c r="G151" s="5" t="inlineStr">
        <is>
          <t>vintage 2026 is 45 years from the subject's 1981, outside the +/-10-year band</t>
        </is>
      </c>
    </row>
    <row r="152">
      <c r="A152" s="5" t="inlineStr">
        <is>
          <t>The Springs at Alta Mesa</t>
        </is>
      </c>
      <c r="B152" s="5" t="inlineStr">
        <is>
          <t>1865 N Higley Rd, Mesa, AZ 85205-3324</t>
        </is>
      </c>
      <c r="C152" s="10" t="n">
        <v>5.51</v>
      </c>
      <c r="D152" s="7" t="n">
        <v>200</v>
      </c>
      <c r="E152" s="5" t="inlineStr">
        <is>
          <t>mf</t>
        </is>
      </c>
      <c r="F152" s="8" t="n">
        <v>1999</v>
      </c>
      <c r="G152" s="5" t="inlineStr">
        <is>
          <t>vintage 1999 is 18 years from the subject's 1981, outside the +/-10-year band</t>
        </is>
      </c>
    </row>
    <row r="153">
      <c r="A153" s="5" t="inlineStr">
        <is>
          <t>Central on Broadway</t>
        </is>
      </c>
      <c r="B153" s="5" t="inlineStr">
        <is>
          <t>2145 W Broadway Rd, Mesa, AZ 85202-1012</t>
        </is>
      </c>
      <c r="C153" s="10" t="n">
        <v>5.54</v>
      </c>
      <c r="D153" s="7" t="n">
        <v>484</v>
      </c>
      <c r="E153" s="5" t="inlineStr">
        <is>
          <t>mf</t>
        </is>
      </c>
      <c r="F153" s="8" t="n">
        <v>1975</v>
      </c>
      <c r="G153" s="5" t="inlineStr">
        <is>
          <t>outside the service's preselection of 20: its rents are tracked but no unit group was quoted for it, so it is listed nearby</t>
        </is>
      </c>
    </row>
    <row r="154">
      <c r="A154" s="5" t="inlineStr">
        <is>
          <t>Vistara at SanTan Village</t>
        </is>
      </c>
      <c r="B154" s="5" t="inlineStr">
        <is>
          <t>1725 S Coronado Rd, Gilbert, AZ 85295</t>
        </is>
      </c>
      <c r="C154" s="10" t="n">
        <v>5.55</v>
      </c>
      <c r="D154" s="7" t="n">
        <v>366</v>
      </c>
      <c r="E154" s="5" t="inlineStr">
        <is>
          <t>mf</t>
        </is>
      </c>
      <c r="F154" s="8" t="n">
        <v>2017</v>
      </c>
      <c r="G154" s="5" t="inlineStr">
        <is>
          <t>vintage 2017 is 36 years from the subject's 1981, outside the +/-10-year band</t>
        </is>
      </c>
    </row>
    <row r="155">
      <c r="A155" s="5" t="inlineStr">
        <is>
          <t>Aventerra at Dobson Ranch</t>
        </is>
      </c>
      <c r="B155" s="5" t="inlineStr">
        <is>
          <t>1960 W Keating Ave, Mesa, AZ 85202</t>
        </is>
      </c>
      <c r="C155" s="10" t="n">
        <v>5.56</v>
      </c>
      <c r="D155" s="7" t="n">
        <v>576</v>
      </c>
      <c r="E155" s="5" t="inlineStr">
        <is>
          <t>mf</t>
        </is>
      </c>
      <c r="F155" s="8" t="n">
        <v>1978</v>
      </c>
      <c r="G155" s="5" t="inlineStr">
        <is>
          <t>outside the service's preselection of 20: its rents are tracked but no unit group was quoted for it, so it is listed nearby</t>
        </is>
      </c>
    </row>
    <row r="156">
      <c r="A156" s="5" t="inlineStr">
        <is>
          <t>Tuscany at Gabriella Pointe</t>
        </is>
      </c>
      <c r="B156" s="5" t="inlineStr">
        <is>
          <t>3545 E Warner Rd, Gilbert, AZ 85296-7991</t>
        </is>
      </c>
      <c r="C156" s="10" t="n">
        <v>5.72</v>
      </c>
      <c r="D156" s="7" t="n">
        <v>760</v>
      </c>
      <c r="E156" s="5" t="inlineStr">
        <is>
          <t>mf</t>
        </is>
      </c>
      <c r="F156" s="8" t="n">
        <v>2025</v>
      </c>
      <c r="G156" s="5" t="inlineStr">
        <is>
          <t>vintage 2025 is 44 years from the subject's 1981, outside the +/-10-year band</t>
        </is>
      </c>
    </row>
    <row r="157">
      <c r="A157" s="5" t="inlineStr">
        <is>
          <t>Redstone at SanTan Village</t>
        </is>
      </c>
      <c r="B157" s="5" t="inlineStr">
        <is>
          <t>1925 S Coronado Rd, Gilbert, AZ 85295</t>
        </is>
      </c>
      <c r="C157" s="10" t="n">
        <v>5.74</v>
      </c>
      <c r="D157" s="7" t="n">
        <v>382</v>
      </c>
      <c r="E157" s="5" t="inlineStr">
        <is>
          <t>mf</t>
        </is>
      </c>
      <c r="F157" s="8" t="n">
        <v>2013</v>
      </c>
      <c r="G157" s="5" t="inlineStr">
        <is>
          <t>vintage 2013 is 32 years from the subject's 1981, outside the +/-10-year band</t>
        </is>
      </c>
    </row>
    <row r="158">
      <c r="A158" s="5" t="inlineStr">
        <is>
          <t>Highland Groves at Morrison Ranch</t>
        </is>
      </c>
      <c r="B158" s="5" t="inlineStr">
        <is>
          <t>105 N Beebe St, Gilbert, AZ 85234</t>
        </is>
      </c>
      <c r="C158" s="10" t="n">
        <v>5.77</v>
      </c>
      <c r="D158" s="7" t="n">
        <v>228</v>
      </c>
      <c r="E158" s="5" t="inlineStr">
        <is>
          <t>mf</t>
        </is>
      </c>
      <c r="F158" s="8" t="n">
        <v>2014</v>
      </c>
      <c r="G158" s="5" t="inlineStr">
        <is>
          <t>vintage 2014 is 33 years from the subject's 1981, outside the +/-10-year band</t>
        </is>
      </c>
    </row>
    <row r="159">
      <c r="A159" s="5" t="inlineStr">
        <is>
          <t>Lakeview at Superstition Springs Apartments</t>
        </is>
      </c>
      <c r="B159" s="5" t="inlineStr">
        <is>
          <t>1849 S Power Rd, Mesa, AZ 85206-4332</t>
        </is>
      </c>
      <c r="C159" s="10" t="n">
        <v>5.77</v>
      </c>
      <c r="D159" s="7" t="n">
        <v>676</v>
      </c>
      <c r="E159" s="5" t="inlineStr">
        <is>
          <t>mf</t>
        </is>
      </c>
      <c r="F159" s="8" t="n">
        <v>1998</v>
      </c>
      <c r="G159" s="5" t="inlineStr">
        <is>
          <t>vintage 1998 is 17 years from the subject's 1981, outside the +/-10-year band</t>
        </is>
      </c>
    </row>
    <row r="160">
      <c r="A160" s="5" t="inlineStr">
        <is>
          <t>Palm Terrace Apartments</t>
        </is>
      </c>
      <c r="B160" s="5" t="inlineStr">
        <is>
          <t>555 E Ray Rd, Chandler, AZ 85225</t>
        </is>
      </c>
      <c r="C160" s="10" t="n">
        <v>5.82</v>
      </c>
      <c r="D160" s="7" t="n">
        <v>180</v>
      </c>
      <c r="E160" s="5" t="inlineStr">
        <is>
          <t>mf</t>
        </is>
      </c>
      <c r="F160" s="8" t="n">
        <v>1996</v>
      </c>
      <c r="G160" s="5" t="inlineStr">
        <is>
          <t>excluded from comp sets by the tracker: income_restricted</t>
        </is>
      </c>
    </row>
    <row r="161">
      <c r="A161" s="5" t="inlineStr">
        <is>
          <t>The Morrison</t>
        </is>
      </c>
      <c r="B161" s="5" t="inlineStr">
        <is>
          <t>2343 W Main St, Mesa, AZ 85201</t>
        </is>
      </c>
      <c r="C161" s="10" t="n">
        <v>5.84</v>
      </c>
      <c r="D161" s="7" t="n">
        <v>337</v>
      </c>
      <c r="E161" s="5" t="inlineStr">
        <is>
          <t>mf</t>
        </is>
      </c>
      <c r="F161" s="8" t="n">
        <v>1986</v>
      </c>
      <c r="G161" s="5" t="inlineStr">
        <is>
          <t>outside the service's preselection of 20: its rents are tracked but no unit group was quoted for it, so it is listed nearby</t>
        </is>
      </c>
    </row>
    <row r="162">
      <c r="A162" s="5" t="inlineStr">
        <is>
          <t>Aster on University</t>
        </is>
      </c>
      <c r="B162" s="5" t="inlineStr">
        <is>
          <t>2240 W University Dr, Mesa, AZ 85201-5262</t>
        </is>
      </c>
      <c r="C162" s="10" t="n">
        <v>5.88</v>
      </c>
      <c r="D162" s="7" t="n">
        <v>285</v>
      </c>
      <c r="E162" s="5" t="inlineStr">
        <is>
          <t>mf</t>
        </is>
      </c>
      <c r="F162" s="8" t="n">
        <v>1977</v>
      </c>
      <c r="G162" s="5" t="inlineStr">
        <is>
          <t>outside the service's preselection of 20: its rents are tracked but no unit group was quoted for it, so it is listed nearby</t>
        </is>
      </c>
    </row>
    <row r="163">
      <c r="A163" s="5" t="inlineStr">
        <is>
          <t>Liv Northgate</t>
        </is>
      </c>
      <c r="B163" s="5" t="inlineStr">
        <is>
          <t>455 S Recker Rd, Gilbert, AZ 85296</t>
        </is>
      </c>
      <c r="C163" s="10" t="n">
        <v>5.9</v>
      </c>
      <c r="D163" s="7" t="n">
        <v>402</v>
      </c>
      <c r="E163" s="5" t="inlineStr">
        <is>
          <t>mf</t>
        </is>
      </c>
      <c r="F163" s="8" t="n">
        <v>2014</v>
      </c>
      <c r="G163" s="5" t="inlineStr">
        <is>
          <t>vintage 2014 is 33 years from the subject's 1981, outside the +/-10-year band</t>
        </is>
      </c>
    </row>
    <row r="164">
      <c r="A164" s="5" t="inlineStr">
        <is>
          <t>Everly at Morrison Ranch</t>
        </is>
      </c>
      <c r="B164" s="5" t="inlineStr">
        <is>
          <t>4353 E Elliot Rd, Gilbert, AZ 85296-0201</t>
        </is>
      </c>
      <c r="C164" s="10" t="n">
        <v>5.91</v>
      </c>
      <c r="D164" s="7" t="n">
        <v>236</v>
      </c>
      <c r="E164" s="5" t="inlineStr">
        <is>
          <t>mf</t>
        </is>
      </c>
      <c r="F164" s="8" t="n">
        <v>2025</v>
      </c>
      <c r="G164" s="5" t="inlineStr">
        <is>
          <t>vintage 2025 is 44 years from the subject's 1981, outside the +/-10-year band</t>
        </is>
      </c>
    </row>
    <row r="165">
      <c r="A165" s="5" t="inlineStr">
        <is>
          <t>The Groves</t>
        </is>
      </c>
      <c r="B165" s="5" t="inlineStr">
        <is>
          <t>2990 S Power Rd, Mesa, AZ 85212</t>
        </is>
      </c>
      <c r="C165" s="10" t="n">
        <v>5.92</v>
      </c>
      <c r="D165" s="7" t="n">
        <v>268</v>
      </c>
      <c r="E165" s="5" t="inlineStr">
        <is>
          <t>mf</t>
        </is>
      </c>
      <c r="F165" s="8" t="n">
        <v>2003</v>
      </c>
      <c r="G165" s="5" t="inlineStr">
        <is>
          <t>excluded from comp sets by the tracker: income_restricted</t>
        </is>
      </c>
    </row>
    <row r="166">
      <c r="A166" s="5" t="inlineStr">
        <is>
          <t>IMT Chandler</t>
        </is>
      </c>
      <c r="B166" s="5" t="inlineStr">
        <is>
          <t>235 E Ray Rd, Chandler, AZ 85225</t>
        </is>
      </c>
      <c r="C166" s="10" t="n">
        <v>5.95</v>
      </c>
      <c r="D166" s="7" t="n">
        <v>221</v>
      </c>
      <c r="E166" s="5" t="inlineStr">
        <is>
          <t>mf</t>
        </is>
      </c>
      <c r="F166" s="8" t="n">
        <v>2002</v>
      </c>
      <c r="G166" s="5" t="inlineStr">
        <is>
          <t>vintage 2002 is 21 years from the subject's 1981, outside the +/-10-year band</t>
        </is>
      </c>
    </row>
    <row r="167">
      <c r="A167" s="5" t="inlineStr">
        <is>
          <t>Elevation at the Village</t>
        </is>
      </c>
      <c r="B167" s="5" t="inlineStr">
        <is>
          <t>1935 S Santan Village Pky, Gilbert, AZ 85295</t>
        </is>
      </c>
      <c r="C167" s="10" t="n">
        <v>5.97</v>
      </c>
      <c r="D167" s="7" t="n">
        <v>214</v>
      </c>
      <c r="E167" s="5" t="inlineStr">
        <is>
          <t>mf</t>
        </is>
      </c>
      <c r="F167" s="8" t="n">
        <v>2022</v>
      </c>
      <c r="G167" s="5" t="inlineStr">
        <is>
          <t>vintage 2022 is 41 years from the subject's 1981, outside the +/-10-year band</t>
        </is>
      </c>
    </row>
    <row r="168">
      <c r="A168" s="5" t="inlineStr">
        <is>
          <t>Terra Vida</t>
        </is>
      </c>
      <c r="B168" s="5" t="inlineStr">
        <is>
          <t>150 S Roosevelt Rd, Mesa, AZ 85202</t>
        </is>
      </c>
      <c r="C168" s="10" t="n">
        <v>5.97</v>
      </c>
      <c r="D168" s="7" t="n">
        <v>384</v>
      </c>
      <c r="E168" s="5" t="inlineStr">
        <is>
          <t>mf</t>
        </is>
      </c>
      <c r="F168" s="8" t="n">
        <v>1988</v>
      </c>
      <c r="G168" s="5" t="inlineStr">
        <is>
          <t>outside the service's preselection of 20: its rents are tracked but no unit group was quoted for it, so it is listed nearby</t>
        </is>
      </c>
    </row>
    <row r="169">
      <c r="A169" s="5" t="inlineStr">
        <is>
          <t>Avia 266</t>
        </is>
      </c>
      <c r="B169" s="5" t="inlineStr">
        <is>
          <t>2354 W University Dr, Mesa, AZ 85201</t>
        </is>
      </c>
      <c r="C169" s="10" t="n">
        <v>5.99</v>
      </c>
      <c r="D169" s="7" t="n">
        <v>267</v>
      </c>
      <c r="E169" s="5" t="inlineStr">
        <is>
          <t>mf</t>
        </is>
      </c>
      <c r="F169" s="8" t="n">
        <v>1984</v>
      </c>
      <c r="G169" s="5" t="inlineStr">
        <is>
          <t>outside the service's preselection of 20: its rents are tracked but no unit group was quoted for it, so it is listed nearby</t>
        </is>
      </c>
    </row>
    <row r="170">
      <c r="A170" s="5" t="inlineStr">
        <is>
          <t>The George Apartments</t>
        </is>
      </c>
      <c r="B170" s="5" t="inlineStr">
        <is>
          <t>1445 S Power Rd, Mesa, AZ 85206-3705</t>
        </is>
      </c>
      <c r="C170" s="10" t="n">
        <v>6.05</v>
      </c>
      <c r="D170" s="7" t="n">
        <v>373</v>
      </c>
      <c r="E170" s="5" t="inlineStr">
        <is>
          <t>mf</t>
        </is>
      </c>
      <c r="F170" s="8" t="n">
        <v>2024</v>
      </c>
      <c r="G170" s="5" t="inlineStr">
        <is>
          <t>vintage 2024 is 43 years from the subject's 1981, outside the +/-10-year band</t>
        </is>
      </c>
    </row>
    <row r="171">
      <c r="A171" s="5" t="inlineStr">
        <is>
          <t>Camden Gilbert</t>
        </is>
      </c>
      <c r="B171" s="5" t="inlineStr">
        <is>
          <t>3150 E Ray Rd, Gilbert, AZ 85296</t>
        </is>
      </c>
      <c r="C171" s="10" t="n">
        <v>6.06</v>
      </c>
      <c r="D171" s="7" t="n">
        <v>320</v>
      </c>
      <c r="E171" s="5" t="inlineStr">
        <is>
          <t>mf</t>
        </is>
      </c>
      <c r="F171" s="8" t="n">
        <v>2022</v>
      </c>
      <c r="G171" s="5" t="inlineStr">
        <is>
          <t>vintage 2022 is 41 years from the subject's 1981, outside the +/-10-year band</t>
        </is>
      </c>
    </row>
    <row r="172">
      <c r="A172" s="5" t="inlineStr">
        <is>
          <t>IMT Riverview</t>
        </is>
      </c>
      <c r="B172" s="5" t="inlineStr">
        <is>
          <t>711 N Evergreen Rd, Mesa, AZ 85201-7520</t>
        </is>
      </c>
      <c r="C172" s="10" t="n">
        <v>6.06</v>
      </c>
      <c r="D172" s="7" t="n">
        <v>340</v>
      </c>
      <c r="E172" s="5" t="inlineStr">
        <is>
          <t>mf</t>
        </is>
      </c>
      <c r="F172" s="8" t="n">
        <v>1999</v>
      </c>
      <c r="G172" s="5" t="inlineStr">
        <is>
          <t>vintage 1999 is 18 years from the subject's 1981, outside the +/-10-year band</t>
        </is>
      </c>
    </row>
    <row r="173">
      <c r="A173" s="5" t="inlineStr">
        <is>
          <t>Chandler Village Apartments</t>
        </is>
      </c>
      <c r="B173" s="5" t="inlineStr">
        <is>
          <t>598 N McQueen Rd, Chandler, AZ 85225-4759</t>
        </is>
      </c>
      <c r="C173" s="10" t="n">
        <v>6.08</v>
      </c>
      <c r="D173" s="7" t="n">
        <v>127</v>
      </c>
      <c r="E173" s="5" t="inlineStr">
        <is>
          <t>mf</t>
        </is>
      </c>
      <c r="F173" s="8" t="n">
        <v>1972</v>
      </c>
      <c r="G173" s="5" t="inlineStr">
        <is>
          <t>excluded from comp sets by the tracker: income_restricted</t>
        </is>
      </c>
    </row>
    <row r="174">
      <c r="A174" s="5" t="inlineStr">
        <is>
          <t>Broadstone Tempe Station</t>
        </is>
      </c>
      <c r="B174" s="5" t="inlineStr">
        <is>
          <t>2323 E Apache Blvd, Tempe, AZ 85281-4971</t>
        </is>
      </c>
      <c r="C174" s="10" t="n">
        <v>6.13</v>
      </c>
      <c r="D174" s="7" t="n">
        <v>400</v>
      </c>
      <c r="E174" s="5" t="inlineStr">
        <is>
          <t>mf</t>
        </is>
      </c>
      <c r="F174" s="8" t="n">
        <v>2000</v>
      </c>
      <c r="G174" s="5" t="inlineStr">
        <is>
          <t>vintage 2000 is 19 years from the subject's 1981, outside the +/-10-year band</t>
        </is>
      </c>
    </row>
    <row r="175">
      <c r="A175" s="5" t="inlineStr">
        <is>
          <t>BB Living Burden Orchards</t>
        </is>
      </c>
      <c r="B175" s="5" t="inlineStr">
        <is>
          <t>3559 N Val Vista Dr, Mesa, AZ 85213</t>
        </is>
      </c>
      <c r="C175" s="10" t="n">
        <v>6.19</v>
      </c>
      <c r="D175" s="7" t="n">
        <v>197</v>
      </c>
      <c r="E175" s="5" t="inlineStr">
        <is>
          <t>mf</t>
        </is>
      </c>
      <c r="F175" s="8" t="n">
        <v>2025</v>
      </c>
      <c r="G175" s="5" t="inlineStr">
        <is>
          <t>vintage 2025 is 44 years from the subject's 1981, outside the +/-10-year band</t>
        </is>
      </c>
    </row>
    <row r="176">
      <c r="A176" s="5" t="inlineStr">
        <is>
          <t>Avilla Lehi Crossing</t>
        </is>
      </c>
      <c r="B176" s="5" t="inlineStr">
        <is>
          <t>3425 E Thomas Rd, Mesa, AZ 85213</t>
        </is>
      </c>
      <c r="C176" s="10" t="n">
        <v>6.22</v>
      </c>
      <c r="D176" s="7" t="n">
        <v>117</v>
      </c>
      <c r="E176" s="5" t="inlineStr">
        <is>
          <t>mf</t>
        </is>
      </c>
      <c r="F176" s="8" t="n">
        <v>2019</v>
      </c>
      <c r="G176" s="5" t="inlineStr">
        <is>
          <t>vintage 2019 is 38 years from the subject's 1981, outside the +/-10-year band</t>
        </is>
      </c>
    </row>
    <row r="177">
      <c r="A177" s="5" t="inlineStr">
        <is>
          <t>Kachina</t>
        </is>
      </c>
      <c r="B177" s="5" t="inlineStr">
        <is>
          <t>1400 N Alma School Rd, Chandler, AZ 85224-2929</t>
        </is>
      </c>
      <c r="C177" s="10" t="n">
        <v>6.24</v>
      </c>
      <c r="D177" s="7" t="n">
        <v>152</v>
      </c>
      <c r="E177" s="5" t="inlineStr">
        <is>
          <t>mf</t>
        </is>
      </c>
      <c r="F177" s="8" t="n">
        <v>1986</v>
      </c>
      <c r="G177" s="5" t="inlineStr">
        <is>
          <t>outside the service's preselection of 20: its rents are tracked but no unit group was quoted for it, so it is listed nearby</t>
        </is>
      </c>
    </row>
    <row r="178">
      <c r="A178" s="5" t="inlineStr">
        <is>
          <t>La Victoria Commons</t>
        </is>
      </c>
      <c r="B178" s="5" t="inlineStr">
        <is>
          <t>2320 E Apache Blvd, Tempe, AZ 85288-4920</t>
        </is>
      </c>
      <c r="C178" s="10" t="n">
        <v>6.25</v>
      </c>
      <c r="D178" s="7" t="n">
        <v>104</v>
      </c>
      <c r="E178" s="5" t="inlineStr">
        <is>
          <t>mf</t>
        </is>
      </c>
      <c r="F178" s="8" t="n">
        <v>2026</v>
      </c>
      <c r="G178" s="5" t="inlineStr">
        <is>
          <t>excluded from comp sets by the tracker: income_restricted</t>
        </is>
      </c>
    </row>
    <row r="179">
      <c r="A179" s="5" t="inlineStr">
        <is>
          <t>MAA Lyon's Gate</t>
        </is>
      </c>
      <c r="B179" s="5" t="inlineStr">
        <is>
          <t>3301 E Ray Rd, Gilbert, AZ 85296</t>
        </is>
      </c>
      <c r="C179" s="10" t="n">
        <v>6.26</v>
      </c>
      <c r="D179" s="7" t="n">
        <v>312</v>
      </c>
      <c r="E179" s="5" t="inlineStr">
        <is>
          <t>mf</t>
        </is>
      </c>
      <c r="F179" s="8" t="n">
        <v>2007</v>
      </c>
      <c r="G179" s="5" t="inlineStr">
        <is>
          <t>vintage 2007 is 26 years from the subject's 1981, outside the +/-10-year band</t>
        </is>
      </c>
    </row>
    <row r="180">
      <c r="A180" s="5" t="inlineStr">
        <is>
          <t>BB Living at Higley Park</t>
        </is>
      </c>
      <c r="B180" s="5" t="inlineStr">
        <is>
          <t>3389 E Liberty Ln, Gilbert, AZ 85296-7361</t>
        </is>
      </c>
      <c r="C180" s="10" t="n">
        <v>6.29</v>
      </c>
      <c r="D180" s="7" t="n">
        <v>150</v>
      </c>
      <c r="E180" s="5" t="inlineStr">
        <is>
          <t>bfr</t>
        </is>
      </c>
      <c r="F180" s="8" t="n">
        <v>2013</v>
      </c>
      <c r="G180" s="5" t="inlineStr">
        <is>
          <t>different product: tracked as bfr, subject is MF</t>
        </is>
      </c>
    </row>
    <row r="181">
      <c r="A181" s="5" t="inlineStr">
        <is>
          <t>Villatree Apartments</t>
        </is>
      </c>
      <c r="B181" s="5" t="inlineStr">
        <is>
          <t>1750 S Price Rd, Tempe, AZ 85281</t>
        </is>
      </c>
      <c r="C181" s="10" t="n">
        <v>6.32</v>
      </c>
      <c r="D181" s="7" t="n">
        <v>150</v>
      </c>
      <c r="E181" s="5" t="inlineStr">
        <is>
          <t>mf</t>
        </is>
      </c>
      <c r="F181" s="8" t="n">
        <v>1980</v>
      </c>
      <c r="G181" s="5" t="inlineStr">
        <is>
          <t>outside the service's preselection of 20: its rents are tracked but no unit group was quoted for it, so it is listed nearby</t>
        </is>
      </c>
    </row>
    <row r="182">
      <c r="A182" s="5" t="inlineStr">
        <is>
          <t>Aqua Apartments</t>
        </is>
      </c>
      <c r="B182" s="5" t="inlineStr">
        <is>
          <t>1532 S Price Rd, Tempe, AZ 85281-6122</t>
        </is>
      </c>
      <c r="C182" s="10" t="n">
        <v>6.33</v>
      </c>
      <c r="D182" s="7" t="n">
        <v>165</v>
      </c>
      <c r="E182" s="5" t="inlineStr">
        <is>
          <t>mf</t>
        </is>
      </c>
      <c r="F182" s="8" t="n">
        <v>1980</v>
      </c>
      <c r="G182" s="5" t="inlineStr">
        <is>
          <t>outside the service's preselection of 20: its rents are tracked but no unit group was quoted for it, so it is listed nearby</t>
        </is>
      </c>
    </row>
    <row r="183">
      <c r="A183" s="5" t="inlineStr">
        <is>
          <t>Waterford at Superstition Springs</t>
        </is>
      </c>
      <c r="B183" s="5" t="inlineStr">
        <is>
          <t>7311 E Southern Ave, Mesa, AZ 85209</t>
        </is>
      </c>
      <c r="C183" s="10" t="n">
        <v>6.36</v>
      </c>
      <c r="D183" s="7" t="n">
        <v>280</v>
      </c>
      <c r="E183" s="5" t="inlineStr">
        <is>
          <t>mf</t>
        </is>
      </c>
      <c r="F183" s="8" t="n">
        <v>2007</v>
      </c>
      <c r="G183" s="5" t="inlineStr">
        <is>
          <t>vintage 2007 is 26 years from the subject's 1981, outside the +/-10-year band</t>
        </is>
      </c>
    </row>
    <row r="184">
      <c r="A184" s="5" t="inlineStr">
        <is>
          <t>Alexan Tempe</t>
        </is>
      </c>
      <c r="B184" s="5" t="inlineStr">
        <is>
          <t>2160 E Baseline Rd, Tempe, AZ 85282</t>
        </is>
      </c>
      <c r="C184" s="10" t="n">
        <v>6.44</v>
      </c>
      <c r="D184" s="7" t="n">
        <v>200</v>
      </c>
      <c r="E184" s="5" t="inlineStr">
        <is>
          <t>mf</t>
        </is>
      </c>
      <c r="F184" s="8" t="n">
        <v>2023</v>
      </c>
      <c r="G184" s="5" t="inlineStr">
        <is>
          <t>vintage 2023 is 42 years from the subject's 1981, outside the +/-10-year band</t>
        </is>
      </c>
    </row>
    <row r="185">
      <c r="A185" s="5" t="inlineStr">
        <is>
          <t>The Retreat at Rio Salado</t>
        </is>
      </c>
      <c r="B185" s="5" t="inlineStr">
        <is>
          <t>2325 E Rio Salado Pky, Tempe, AZ 85288-7489</t>
        </is>
      </c>
      <c r="C185" s="10" t="n">
        <v>6.48</v>
      </c>
      <c r="D185" s="7" t="n">
        <v>276</v>
      </c>
      <c r="E185" s="5" t="inlineStr">
        <is>
          <t>mf</t>
        </is>
      </c>
      <c r="F185" s="8" t="n">
        <v>2020</v>
      </c>
      <c r="G185" s="5" t="inlineStr">
        <is>
          <t>vintage 2020 is 39 years from the subject's 1981, outside the +/-10-year band</t>
        </is>
      </c>
    </row>
    <row r="186">
      <c r="A186" s="5" t="inlineStr">
        <is>
          <t>The Flats at SanTan</t>
        </is>
      </c>
      <c r="B186" s="5" t="inlineStr">
        <is>
          <t>2550 S San Tan Village Pky, Gilbert, AZ 85295-7852</t>
        </is>
      </c>
      <c r="C186" s="10" t="n">
        <v>6.55</v>
      </c>
      <c r="D186" s="7" t="n">
        <v>319</v>
      </c>
      <c r="E186" s="5" t="inlineStr">
        <is>
          <t>mf</t>
        </is>
      </c>
      <c r="F186" s="8" t="n">
        <v>2018</v>
      </c>
      <c r="G186" s="5" t="inlineStr">
        <is>
          <t>vintage 2018 is 37 years from the subject's 1981, outside the +/-10-year band</t>
        </is>
      </c>
    </row>
    <row r="187">
      <c r="A187" s="5" t="inlineStr">
        <is>
          <t>Nollie</t>
        </is>
      </c>
      <c r="B187" s="5" t="inlineStr">
        <is>
          <t>2125 E Apache Blvd, Tempe, AZ 85281-4823</t>
        </is>
      </c>
      <c r="C187" s="10" t="n">
        <v>6.56</v>
      </c>
      <c r="D187" s="7" t="n">
        <v>219</v>
      </c>
      <c r="E187" s="5" t="inlineStr">
        <is>
          <t>mf</t>
        </is>
      </c>
      <c r="F187" s="8" t="n">
        <v>2024</v>
      </c>
      <c r="G187" s="5" t="inlineStr">
        <is>
          <t>vintage 2024 is 43 years from the subject's 1981, outside the +/-10-year band</t>
        </is>
      </c>
    </row>
    <row r="188">
      <c r="A188" s="5" t="inlineStr">
        <is>
          <t>Villas on McQueen</t>
        </is>
      </c>
      <c r="B188" s="5" t="inlineStr">
        <is>
          <t>77 N McQueen Rd, Chandler, AZ 85225</t>
        </is>
      </c>
      <c r="C188" s="10" t="n">
        <v>6.58</v>
      </c>
      <c r="D188" s="7" t="n">
        <v>157</v>
      </c>
      <c r="E188" s="5" t="inlineStr">
        <is>
          <t>mf</t>
        </is>
      </c>
      <c r="F188" s="8" t="n">
        <v>2026</v>
      </c>
      <c r="G188" s="5" t="inlineStr">
        <is>
          <t>excluded from comp sets by the tracker: income_restricted</t>
        </is>
      </c>
    </row>
    <row r="189">
      <c r="A189" s="5" t="inlineStr">
        <is>
          <t>Aztec Springs Apartments</t>
        </is>
      </c>
      <c r="B189" s="5" t="inlineStr">
        <is>
          <t>164 N 74th St, Mesa, AZ 85207</t>
        </is>
      </c>
      <c r="C189" s="10" t="n">
        <v>6.61</v>
      </c>
      <c r="D189" s="7" t="n">
        <v>304</v>
      </c>
      <c r="E189" s="5" t="inlineStr">
        <is>
          <t>mf</t>
        </is>
      </c>
      <c r="F189" s="8" t="n">
        <v>1984</v>
      </c>
      <c r="G189" s="5" t="inlineStr">
        <is>
          <t>outside the service's preselection of 20: its rents are tracked but no unit group was quoted for it, so it is listed nearby</t>
        </is>
      </c>
    </row>
    <row r="190">
      <c r="A190" s="5" t="inlineStr">
        <is>
          <t>Trails at San Tan</t>
        </is>
      </c>
      <c r="B190" s="5" t="inlineStr">
        <is>
          <t>2505 E Williams Field Rd, Gilbert, AZ 85295-0786</t>
        </is>
      </c>
      <c r="C190" s="10" t="n">
        <v>6.62</v>
      </c>
      <c r="D190" s="7" t="n">
        <v>314</v>
      </c>
      <c r="E190" s="5" t="inlineStr">
        <is>
          <t>mf</t>
        </is>
      </c>
      <c r="F190" s="8" t="n">
        <v>2007</v>
      </c>
      <c r="G190" s="5" t="inlineStr">
        <is>
          <t>vintage 2007 is 26 years from the subject's 1981, outside the +/-10-year band</t>
        </is>
      </c>
    </row>
    <row r="191">
      <c r="A191" s="5" t="inlineStr">
        <is>
          <t>Marabrisa Condominiums</t>
        </is>
      </c>
      <c r="B191" s="5" t="inlineStr">
        <is>
          <t>234 N 75th St, Mesa, AZ 85207</t>
        </is>
      </c>
      <c r="C191" s="10" t="n">
        <v>6.66</v>
      </c>
      <c r="D191" s="7" t="n">
        <v>103</v>
      </c>
      <c r="E191" s="5" t="inlineStr">
        <is>
          <t>mf</t>
        </is>
      </c>
      <c r="F191" s="8" t="n">
        <v>1986</v>
      </c>
      <c r="G191" s="5" t="inlineStr">
        <is>
          <t>outside the service's preselection of 20: its rents are tracked but no unit group was quoted for it, so it is listed nearby</t>
        </is>
      </c>
    </row>
    <row r="192">
      <c r="A192" s="5" t="inlineStr">
        <is>
          <t>Tempe Vista</t>
        </is>
      </c>
      <c r="B192" s="5" t="inlineStr">
        <is>
          <t>2045 E Broadway Rd, Tempe, AZ 85282</t>
        </is>
      </c>
      <c r="C192" s="10" t="n">
        <v>6.67</v>
      </c>
      <c r="D192" s="7" t="n">
        <v>186</v>
      </c>
      <c r="E192" s="5" t="inlineStr">
        <is>
          <t>mf</t>
        </is>
      </c>
      <c r="F192" s="8" t="n">
        <v>1973</v>
      </c>
      <c r="G192" s="5" t="inlineStr">
        <is>
          <t>outside the service's preselection of 20: its rents are tracked but no unit group was quoted for it, so it is listed nearby</t>
        </is>
      </c>
    </row>
    <row r="193">
      <c r="A193" s="5" t="inlineStr">
        <is>
          <t>Elevation San Tan</t>
        </is>
      </c>
      <c r="B193" s="5" t="inlineStr">
        <is>
          <t>2045 E Boston St, Gilbert, AZ 85295</t>
        </is>
      </c>
      <c r="C193" s="10" t="n">
        <v>6.69</v>
      </c>
      <c r="D193" s="7" t="n">
        <v>297</v>
      </c>
      <c r="E193" s="5" t="inlineStr">
        <is>
          <t>mf</t>
        </is>
      </c>
      <c r="F193" s="8" t="n">
        <v>2020</v>
      </c>
      <c r="G193" s="5" t="inlineStr">
        <is>
          <t>vintage 2020 is 39 years from the subject's 1981, outside the +/-10-year band</t>
        </is>
      </c>
    </row>
    <row r="194">
      <c r="A194" s="5" t="inlineStr">
        <is>
          <t>Blue Eastline</t>
        </is>
      </c>
      <c r="B194" s="5" t="inlineStr">
        <is>
          <t>2058 E Apache Blvd, Tempe, AZ 85281-4825</t>
        </is>
      </c>
      <c r="C194" s="10" t="n">
        <v>6.75</v>
      </c>
      <c r="D194" s="7" t="n">
        <v>187</v>
      </c>
      <c r="E194" s="5" t="inlineStr">
        <is>
          <t>mf</t>
        </is>
      </c>
      <c r="F194" s="8" t="n">
        <v>2024</v>
      </c>
      <c r="G194" s="5" t="inlineStr">
        <is>
          <t>vintage 2024 is 43 years from the subject's 1981, outside the +/-10-year band</t>
        </is>
      </c>
    </row>
    <row r="195">
      <c r="A195" s="5" t="inlineStr">
        <is>
          <t>Willowcreek</t>
        </is>
      </c>
      <c r="B195" s="5" t="inlineStr">
        <is>
          <t>2020 E Broadway Rd, Tempe, AZ 85282-1755</t>
        </is>
      </c>
      <c r="C195" s="10" t="n">
        <v>6.77</v>
      </c>
      <c r="D195" s="7" t="n">
        <v>402</v>
      </c>
      <c r="E195" s="5" t="inlineStr">
        <is>
          <t>mf</t>
        </is>
      </c>
      <c r="F195" s="8" t="n">
        <v>1983</v>
      </c>
      <c r="G195" s="5" t="inlineStr">
        <is>
          <t>outside the service's preselection of 20: its rents are tracked but no unit group was quoted for it, so it is listed nearby</t>
        </is>
      </c>
    </row>
    <row r="196">
      <c r="A196" s="5" t="inlineStr">
        <is>
          <t>Culdesac Tempe</t>
        </is>
      </c>
      <c r="B196" s="5" t="inlineStr">
        <is>
          <t>2025 E Apache Blvd, Tempe, AZ 85281-4821</t>
        </is>
      </c>
      <c r="C196" s="10" t="n">
        <v>6.79</v>
      </c>
      <c r="D196" s="7" t="n">
        <v>781</v>
      </c>
      <c r="E196" s="5" t="inlineStr">
        <is>
          <t>mf</t>
        </is>
      </c>
      <c r="F196" s="8" t="n">
        <v>2023</v>
      </c>
      <c r="G196" s="5" t="inlineStr">
        <is>
          <t>vintage 2023 is 42 years from the subject's 1981, outside the +/-10-year band</t>
        </is>
      </c>
    </row>
    <row r="197">
      <c r="A197" s="5" t="inlineStr">
        <is>
          <t>Tierra Antigua Apartments</t>
        </is>
      </c>
      <c r="B197" s="5" t="inlineStr">
        <is>
          <t>339 N 75th St, Mesa, AZ 85207</t>
        </is>
      </c>
      <c r="C197" s="10" t="n">
        <v>6.86</v>
      </c>
      <c r="D197" s="7" t="n">
        <v>174</v>
      </c>
      <c r="E197" s="5" t="inlineStr">
        <is>
          <t>mf</t>
        </is>
      </c>
      <c r="F197" s="8" t="n">
        <v>2003</v>
      </c>
      <c r="G197" s="5" t="inlineStr">
        <is>
          <t>excluded from comp sets by the tracker: income_restricted</t>
        </is>
      </c>
    </row>
    <row r="198">
      <c r="A198" s="5" t="inlineStr">
        <is>
          <t>Chandler Meadows Furnished Apartments</t>
        </is>
      </c>
      <c r="B198" s="5" t="inlineStr">
        <is>
          <t>3175 N Price Rd, Chandler, AZ 85224</t>
        </is>
      </c>
      <c r="C198" s="10" t="n">
        <v>6.87</v>
      </c>
      <c r="D198" s="7" t="n">
        <v>200</v>
      </c>
      <c r="E198" s="5" t="inlineStr">
        <is>
          <t>mf</t>
        </is>
      </c>
      <c r="F198" s="8" t="n">
        <v>1983</v>
      </c>
      <c r="G198" s="5" t="inlineStr">
        <is>
          <t>outside the service's preselection of 20: its rents are tracked but no unit group was quoted for it, so it is listed nearby</t>
        </is>
      </c>
    </row>
    <row r="199">
      <c r="A199" s="5" t="inlineStr">
        <is>
          <t>The Wayne</t>
        </is>
      </c>
      <c r="B199" s="5" t="inlineStr">
        <is>
          <t>1535 N Dobson Rd, Chandler, AZ 85224-8580</t>
        </is>
      </c>
      <c r="C199" s="10" t="n">
        <v>6.87</v>
      </c>
      <c r="D199" s="7" t="n">
        <v>100</v>
      </c>
      <c r="E199" s="5" t="inlineStr">
        <is>
          <t>bfr</t>
        </is>
      </c>
      <c r="F199" s="12" t="n"/>
      <c r="G199" s="5" t="inlineStr">
        <is>
          <t>different product: tracked as bfr, subject is MF</t>
        </is>
      </c>
    </row>
    <row r="200">
      <c r="A200" s="5" t="inlineStr">
        <is>
          <t>Azul at Spectrum</t>
        </is>
      </c>
      <c r="B200" s="5" t="inlineStr">
        <is>
          <t>3134 S Market St, Gilbert, AZ 85295</t>
        </is>
      </c>
      <c r="C200" s="10" t="n">
        <v>6.88</v>
      </c>
      <c r="D200" s="7" t="n">
        <v>360</v>
      </c>
      <c r="E200" s="5" t="inlineStr">
        <is>
          <t>mf</t>
        </is>
      </c>
      <c r="F200" s="8" t="n">
        <v>2007</v>
      </c>
      <c r="G200" s="5" t="inlineStr">
        <is>
          <t>vintage 2007 is 26 years from the subject's 1981, outside the +/-10-year band</t>
        </is>
      </c>
    </row>
    <row r="201">
      <c r="A201" s="5" t="inlineStr">
        <is>
          <t>Borrego at Spectrum</t>
        </is>
      </c>
      <c r="B201" s="5" t="inlineStr">
        <is>
          <t>3004 S Market St, Gilbert, AZ 85295</t>
        </is>
      </c>
      <c r="C201" s="10" t="n">
        <v>6.88</v>
      </c>
      <c r="D201" s="7" t="n">
        <v>264</v>
      </c>
      <c r="E201" s="5" t="inlineStr">
        <is>
          <t>mf</t>
        </is>
      </c>
      <c r="F201" s="8" t="n">
        <v>2006</v>
      </c>
      <c r="G201" s="5" t="inlineStr">
        <is>
          <t>vintage 2006 is 25 years from the subject's 1981, outside the +/-10-year band</t>
        </is>
      </c>
    </row>
    <row r="202">
      <c r="A202" s="5" t="inlineStr">
        <is>
          <t>High Lands At Spectrum</t>
        </is>
      </c>
      <c r="B202" s="5" t="inlineStr">
        <is>
          <t>1456 E Pecos Rd, Gilbert, AZ 85295</t>
        </is>
      </c>
      <c r="C202" s="10" t="n">
        <v>6.88</v>
      </c>
      <c r="D202" s="7" t="n">
        <v>284</v>
      </c>
      <c r="E202" s="5" t="inlineStr">
        <is>
          <t>mf</t>
        </is>
      </c>
      <c r="F202" s="8" t="n">
        <v>2007</v>
      </c>
      <c r="G202" s="5" t="inlineStr">
        <is>
          <t>vintage 2007 is 26 years from the subject's 1981, outside the +/-10-year band</t>
        </is>
      </c>
    </row>
    <row r="203">
      <c r="A203" s="5" t="inlineStr">
        <is>
          <t>The Alyssa</t>
        </is>
      </c>
      <c r="B203" s="5" t="inlineStr">
        <is>
          <t>98 South River Dr, Tempe, AZ 85288</t>
        </is>
      </c>
      <c r="C203" s="10" t="n">
        <v>6.9</v>
      </c>
      <c r="D203" s="7" t="n">
        <v>335</v>
      </c>
      <c r="E203" s="5" t="inlineStr">
        <is>
          <t>mf</t>
        </is>
      </c>
      <c r="F203" s="8" t="n">
        <v>2024</v>
      </c>
      <c r="G203" s="5" t="inlineStr">
        <is>
          <t>vintage 2024 is 43 years from the subject's 1981, outside the +/-10-year band</t>
        </is>
      </c>
    </row>
    <row r="204">
      <c r="A204" s="5" t="inlineStr">
        <is>
          <t>Greentree Place Apartments</t>
        </is>
      </c>
      <c r="B204" s="5" t="inlineStr">
        <is>
          <t>250 S Elizabeth Cir, Chandler, AZ 85225-5687</t>
        </is>
      </c>
      <c r="C204" s="10" t="n">
        <v>6.92</v>
      </c>
      <c r="D204" s="7" t="n">
        <v>256</v>
      </c>
      <c r="E204" s="5" t="inlineStr">
        <is>
          <t>mf</t>
        </is>
      </c>
      <c r="F204" s="8" t="n">
        <v>1986</v>
      </c>
      <c r="G204" s="5" t="inlineStr">
        <is>
          <t>outside the service's preselection of 20: its rents are tracked but no unit group was quoted for it, so it is listed nearby</t>
        </is>
      </c>
    </row>
    <row r="205">
      <c r="A205" s="5" t="inlineStr">
        <is>
          <t>San Privada</t>
        </is>
      </c>
      <c r="B205" s="5" t="inlineStr">
        <is>
          <t>1480 E Pecos Rd, Gilbert, AZ 85295-1700</t>
        </is>
      </c>
      <c r="C205" s="10" t="n">
        <v>6.92</v>
      </c>
      <c r="D205" s="7" t="n">
        <v>296</v>
      </c>
      <c r="E205" s="5" t="inlineStr">
        <is>
          <t>mf</t>
        </is>
      </c>
      <c r="F205" s="8" t="n">
        <v>2014</v>
      </c>
      <c r="G205" s="5" t="inlineStr">
        <is>
          <t>vintage 2014 is 33 years from the subject's 1981, outside the +/-10-year band</t>
        </is>
      </c>
    </row>
    <row r="206">
      <c r="A206" s="5" t="inlineStr">
        <is>
          <t>Encore Novo</t>
        </is>
      </c>
      <c r="B206" s="5" t="inlineStr">
        <is>
          <t>333 E Commonwealth Ave, Chandler, AZ 85225</t>
        </is>
      </c>
      <c r="C206" s="10" t="n">
        <v>6.94</v>
      </c>
      <c r="D206" s="7" t="n">
        <v>208</v>
      </c>
      <c r="E206" s="5" t="inlineStr">
        <is>
          <t>mf</t>
        </is>
      </c>
      <c r="F206" s="8" t="n">
        <v>2024</v>
      </c>
      <c r="G206" s="5" t="inlineStr">
        <is>
          <t>vintage 2024 is 43 years from the subject's 1981, outside the +/-10-year band</t>
        </is>
      </c>
    </row>
    <row r="207">
      <c r="A207" s="5" t="inlineStr">
        <is>
          <t>The Village at Sun Valley</t>
        </is>
      </c>
      <c r="B207" s="5" t="inlineStr">
        <is>
          <t>7520 E Billings St, Mesa, AZ 85207-8340</t>
        </is>
      </c>
      <c r="C207" s="10" t="n">
        <v>6.94</v>
      </c>
      <c r="D207" s="7" t="n">
        <v>276</v>
      </c>
      <c r="E207" s="5" t="inlineStr">
        <is>
          <t>mf</t>
        </is>
      </c>
      <c r="F207" s="8" t="n">
        <v>2001</v>
      </c>
      <c r="G207" s="5" t="inlineStr">
        <is>
          <t>excluded from comp sets by the tracker: income_restricted</t>
        </is>
      </c>
    </row>
    <row r="208">
      <c r="A208" s="5" t="inlineStr">
        <is>
          <t>Asteria Apartment Homes</t>
        </is>
      </c>
      <c r="B208" s="5" t="inlineStr">
        <is>
          <t>1975 E University Dr, Tempe, AZ 85281</t>
        </is>
      </c>
      <c r="C208" s="10" t="n">
        <v>7.03</v>
      </c>
      <c r="D208" s="7" t="n">
        <v>212</v>
      </c>
      <c r="E208" s="5" t="inlineStr">
        <is>
          <t>mf</t>
        </is>
      </c>
      <c r="F208" s="8" t="n">
        <v>1989</v>
      </c>
      <c r="G208" s="5" t="inlineStr">
        <is>
          <t>outside the service's preselection of 20: its rents are tracked but no unit group was quoted for it, so it is listed nearby</t>
        </is>
      </c>
    </row>
    <row r="209">
      <c r="A209" s="5" t="inlineStr">
        <is>
          <t>MadEry Apartments</t>
        </is>
      </c>
      <c r="B209" s="5" t="inlineStr">
        <is>
          <t>1865 E Broadway Rd, Tempe, AZ 85282</t>
        </is>
      </c>
      <c r="C209" s="10" t="n">
        <v>7.04</v>
      </c>
      <c r="D209" s="7" t="n">
        <v>262</v>
      </c>
      <c r="E209" s="5" t="inlineStr">
        <is>
          <t>mf</t>
        </is>
      </c>
      <c r="F209" s="8" t="n">
        <v>1972</v>
      </c>
      <c r="G209" s="5" t="inlineStr">
        <is>
          <t>outside the service's preselection of 20: its rents are tracked but no unit group was quoted for it, so it is listed nearby</t>
        </is>
      </c>
    </row>
    <row r="210">
      <c r="A210" s="5" t="inlineStr">
        <is>
          <t>Summit at San Marcos</t>
        </is>
      </c>
      <c r="B210" s="5" t="inlineStr">
        <is>
          <t>445 W Chandler Blvd, Chandler, AZ 85225-2107</t>
        </is>
      </c>
      <c r="C210" s="10" t="n">
        <v>7.07</v>
      </c>
      <c r="D210" s="7" t="n">
        <v>273</v>
      </c>
      <c r="E210" s="5" t="inlineStr">
        <is>
          <t>mf</t>
        </is>
      </c>
      <c r="F210" s="8" t="n">
        <v>2018</v>
      </c>
      <c r="G210" s="5" t="inlineStr">
        <is>
          <t>vintage 2018 is 37 years from the subject's 1981, outside the +/-10-year band</t>
        </is>
      </c>
    </row>
    <row r="211">
      <c r="A211" s="5" t="inlineStr">
        <is>
          <t>MAA Val Vista</t>
        </is>
      </c>
      <c r="B211" s="5" t="inlineStr">
        <is>
          <t>1727 E Pecos Rd, Gilbert, AZ 85295</t>
        </is>
      </c>
      <c r="C211" s="10" t="n">
        <v>7.09</v>
      </c>
      <c r="D211" s="7" t="n">
        <v>317</v>
      </c>
      <c r="E211" s="5" t="inlineStr">
        <is>
          <t>mf</t>
        </is>
      </c>
      <c r="F211" s="8" t="n">
        <v>2024</v>
      </c>
      <c r="G211" s="5" t="inlineStr">
        <is>
          <t>vintage 2024 is 43 years from the subject's 1981, outside the +/-10-year band</t>
        </is>
      </c>
    </row>
    <row r="212">
      <c r="A212" s="5" t="inlineStr">
        <is>
          <t>Vivace at Gateway Place</t>
        </is>
      </c>
      <c r="B212" s="5" t="inlineStr">
        <is>
          <t>4500 E Ray Rd, Gilbert, AZ 85296-0671</t>
        </is>
      </c>
      <c r="C212" s="10" t="n">
        <v>7.1</v>
      </c>
      <c r="D212" s="7" t="n">
        <v>250</v>
      </c>
      <c r="E212" s="5" t="inlineStr">
        <is>
          <t>mf</t>
        </is>
      </c>
      <c r="F212" s="8" t="n">
        <v>2019</v>
      </c>
      <c r="G212" s="5" t="inlineStr">
        <is>
          <t>vintage 2019 is 38 years from the subject's 1981, outside the +/-10-year band</t>
        </is>
      </c>
    </row>
    <row r="213">
      <c r="A213" s="5" t="inlineStr">
        <is>
          <t>Talavera</t>
        </is>
      </c>
      <c r="B213" s="5" t="inlineStr">
        <is>
          <t>3501 S McClintock Dr, Tempe, AZ 85282-5871</t>
        </is>
      </c>
      <c r="C213" s="10" t="n">
        <v>7.14</v>
      </c>
      <c r="D213" s="7" t="n">
        <v>144</v>
      </c>
      <c r="E213" s="5" t="inlineStr">
        <is>
          <t>mf</t>
        </is>
      </c>
      <c r="F213" s="8" t="n">
        <v>1984</v>
      </c>
      <c r="G213" s="5" t="inlineStr">
        <is>
          <t>outside the service's preselection of 20: its rents are tracked but no unit group was quoted for it, so it is listed nearby</t>
        </is>
      </c>
    </row>
    <row r="214">
      <c r="A214" s="5" t="inlineStr">
        <is>
          <t>DC Heights</t>
        </is>
      </c>
      <c r="B214" s="5" t="inlineStr">
        <is>
          <t>222 W Boston St, Chandler, AZ 85225</t>
        </is>
      </c>
      <c r="C214" s="10" t="n">
        <v>7.16</v>
      </c>
      <c r="D214" s="7" t="n">
        <v>157</v>
      </c>
      <c r="E214" s="5" t="inlineStr">
        <is>
          <t>mf</t>
        </is>
      </c>
      <c r="F214" s="8" t="n">
        <v>2023</v>
      </c>
      <c r="G214" s="5" t="inlineStr">
        <is>
          <t>vintage 2023 is 42 years from the subject's 1981, outside the +/-10-year band</t>
        </is>
      </c>
    </row>
    <row r="215">
      <c r="A215" s="5" t="inlineStr">
        <is>
          <t>The Atwood at Rivulon</t>
        </is>
      </c>
      <c r="B215" s="5" t="inlineStr">
        <is>
          <t>500 E Rivulon Blvd, Gilbert, AZ 85295</t>
        </is>
      </c>
      <c r="C215" s="10" t="n">
        <v>7.21</v>
      </c>
      <c r="D215" s="7" t="n">
        <v>352</v>
      </c>
      <c r="E215" s="5" t="inlineStr">
        <is>
          <t>mf</t>
        </is>
      </c>
      <c r="F215" s="8" t="n">
        <v>2025</v>
      </c>
      <c r="G215" s="5" t="inlineStr">
        <is>
          <t>vintage 2025 is 44 years from the subject's 1981, outside the +/-10-year band</t>
        </is>
      </c>
    </row>
    <row r="216">
      <c r="A216" s="5" t="inlineStr">
        <is>
          <t>The Cameron</t>
        </is>
      </c>
      <c r="B216" s="5" t="inlineStr">
        <is>
          <t>2062 E Cameron Way, Tempe, AZ 85281</t>
        </is>
      </c>
      <c r="C216" s="10" t="n">
        <v>7.22</v>
      </c>
      <c r="D216" s="7" t="n">
        <v>349</v>
      </c>
      <c r="E216" s="5" t="inlineStr">
        <is>
          <t>mf</t>
        </is>
      </c>
      <c r="F216" s="8" t="n">
        <v>2020</v>
      </c>
      <c r="G216" s="5" t="inlineStr">
        <is>
          <t>vintage 2020 is 39 years from the subject's 1981, outside the +/-10-year band</t>
        </is>
      </c>
    </row>
    <row r="217">
      <c r="A217" s="5" t="inlineStr">
        <is>
          <t>Aura Apache</t>
        </is>
      </c>
      <c r="B217" s="5" t="inlineStr">
        <is>
          <t>1820 E Apache Blvd, Tempe, AZ 85281-6006</t>
        </is>
      </c>
      <c r="C217" s="10" t="n">
        <v>7.24</v>
      </c>
      <c r="D217" s="7" t="n">
        <v>295</v>
      </c>
      <c r="E217" s="5" t="inlineStr">
        <is>
          <t>mf</t>
        </is>
      </c>
      <c r="F217" s="8" t="n">
        <v>2024</v>
      </c>
      <c r="G217" s="5" t="inlineStr">
        <is>
          <t>vintage 2024 is 43 years from the subject's 1981, outside the +/-10-year band</t>
        </is>
      </c>
    </row>
    <row r="218">
      <c r="A218" s="5" t="inlineStr">
        <is>
          <t>Smith + Rio</t>
        </is>
      </c>
      <c r="B218" s="5" t="inlineStr">
        <is>
          <t>1979 E Rio Salado Pky, Tempe, AZ 85281</t>
        </is>
      </c>
      <c r="C218" s="10" t="n">
        <v>7.24</v>
      </c>
      <c r="D218" s="7" t="n">
        <v>310</v>
      </c>
      <c r="E218" s="5" t="inlineStr">
        <is>
          <t>mf</t>
        </is>
      </c>
      <c r="F218" s="8" t="n">
        <v>2023</v>
      </c>
      <c r="G218" s="5" t="inlineStr">
        <is>
          <t>vintage 2023 is 42 years from the subject's 1981, outside the +/-10-year band</t>
        </is>
      </c>
    </row>
    <row r="219">
      <c r="A219" s="5" t="inlineStr">
        <is>
          <t>Olympus Steelyard</t>
        </is>
      </c>
      <c r="B219" s="5" t="inlineStr">
        <is>
          <t>155 E Frye Rd, Chandler, AZ 85225-9551</t>
        </is>
      </c>
      <c r="C219" s="10" t="n">
        <v>7.29</v>
      </c>
      <c r="D219" s="7" t="n">
        <v>301</v>
      </c>
      <c r="E219" s="5" t="inlineStr">
        <is>
          <t>mf</t>
        </is>
      </c>
      <c r="F219" s="8" t="n">
        <v>2015</v>
      </c>
      <c r="G219" s="5" t="inlineStr">
        <is>
          <t>vintage 2015 is 34 years from the subject's 1981, outside the +/-10-year band</t>
        </is>
      </c>
    </row>
    <row r="220">
      <c r="A220" s="5" t="inlineStr">
        <is>
          <t>Ascend at Red Mountain</t>
        </is>
      </c>
      <c r="B220" s="5" t="inlineStr">
        <is>
          <t>2217 N Power Rd, Mesa, AZ 85215</t>
        </is>
      </c>
      <c r="C220" s="10" t="n">
        <v>7.33</v>
      </c>
      <c r="D220" s="7" t="n">
        <v>153</v>
      </c>
      <c r="E220" s="5" t="inlineStr">
        <is>
          <t>mf</t>
        </is>
      </c>
      <c r="F220" s="8" t="n">
        <v>2016</v>
      </c>
      <c r="G220" s="5" t="inlineStr">
        <is>
          <t>vintage 2016 is 35 years from the subject's 1981, outside the +/-10-year band</t>
        </is>
      </c>
    </row>
    <row r="221">
      <c r="A221" s="5" t="inlineStr">
        <is>
          <t>The Fairways at San Marcos</t>
        </is>
      </c>
      <c r="B221" s="5" t="inlineStr">
        <is>
          <t>777 W Chandler Blvd, Chandler, AZ 85225</t>
        </is>
      </c>
      <c r="C221" s="10" t="n">
        <v>7.34</v>
      </c>
      <c r="D221" s="7" t="n">
        <v>352</v>
      </c>
      <c r="E221" s="5" t="inlineStr">
        <is>
          <t>mf</t>
        </is>
      </c>
      <c r="F221" s="8" t="n">
        <v>1986</v>
      </c>
      <c r="G221" s="5" t="inlineStr">
        <is>
          <t>outside the service's preselection of 20: its rents are tracked but no unit group was quoted for it, so it is listed nearby</t>
        </is>
      </c>
    </row>
    <row r="222">
      <c r="A222" s="5" t="inlineStr">
        <is>
          <t>San Marbeya</t>
        </is>
      </c>
      <c r="B222" s="5" t="inlineStr">
        <is>
          <t>1720 E Broadway Rd, Tempe, AZ 85282-1577</t>
        </is>
      </c>
      <c r="C222" s="10" t="n">
        <v>7.36</v>
      </c>
      <c r="D222" s="7" t="n">
        <v>276</v>
      </c>
      <c r="E222" s="5" t="inlineStr">
        <is>
          <t>mf</t>
        </is>
      </c>
      <c r="F222" s="8" t="n">
        <v>2000</v>
      </c>
      <c r="G222" s="5" t="inlineStr">
        <is>
          <t>vintage 2000 is 19 years from the subject's 1981, outside the +/-10-year band</t>
        </is>
      </c>
    </row>
    <row r="223">
      <c r="A223" s="5" t="inlineStr">
        <is>
          <t>SunVilla Apartments</t>
        </is>
      </c>
      <c r="B223" s="5" t="inlineStr">
        <is>
          <t>650 S 80th St, Mesa, AZ 85208</t>
        </is>
      </c>
      <c r="C223" s="10" t="n">
        <v>7.37</v>
      </c>
      <c r="D223" s="7" t="n">
        <v>98</v>
      </c>
      <c r="E223" s="5" t="inlineStr">
        <is>
          <t>mf</t>
        </is>
      </c>
      <c r="F223" s="8" t="n">
        <v>1976</v>
      </c>
      <c r="G223" s="5" t="inlineStr">
        <is>
          <t>excluded from comp sets by the tracker: age_restricted</t>
        </is>
      </c>
    </row>
    <row r="224">
      <c r="A224" s="5" t="inlineStr">
        <is>
          <t>Eastridge Apartments</t>
        </is>
      </c>
      <c r="B224" s="5" t="inlineStr">
        <is>
          <t>1522 E Southern Ave, Tempe, AZ 85282</t>
        </is>
      </c>
      <c r="C224" s="10" t="n">
        <v>7.41</v>
      </c>
      <c r="D224" s="7" t="n">
        <v>334</v>
      </c>
      <c r="E224" s="5" t="inlineStr">
        <is>
          <t>mf</t>
        </is>
      </c>
      <c r="F224" s="8" t="n">
        <v>1981</v>
      </c>
      <c r="G224" s="5" t="inlineStr">
        <is>
          <t>excluded from comp sets by the tracker: student</t>
        </is>
      </c>
    </row>
    <row r="225">
      <c r="A225" s="5" t="inlineStr">
        <is>
          <t>Lakeside</t>
        </is>
      </c>
      <c r="B225" s="5" t="inlineStr">
        <is>
          <t>855 N Dobson Rd, Chandler, AZ 85224</t>
        </is>
      </c>
      <c r="C225" s="10" t="n">
        <v>7.42</v>
      </c>
      <c r="D225" s="7" t="n">
        <v>230</v>
      </c>
      <c r="E225" s="5" t="inlineStr">
        <is>
          <t>mf</t>
        </is>
      </c>
      <c r="F225" s="8" t="n">
        <v>1987</v>
      </c>
      <c r="G225" s="5" t="inlineStr">
        <is>
          <t>outside the service's preselection of 20: its rents are tracked but no unit group was quoted for it, so it is listed nearby</t>
        </is>
      </c>
    </row>
    <row r="226">
      <c r="A226" s="5" t="inlineStr">
        <is>
          <t>Elux at McQueen</t>
        </is>
      </c>
      <c r="B226" s="5" t="inlineStr">
        <is>
          <t>1750 S Senate St, Chandler, AZ 85286-2609</t>
        </is>
      </c>
      <c r="C226" s="10" t="n">
        <v>7.46</v>
      </c>
      <c r="D226" s="7" t="n">
        <v>162</v>
      </c>
      <c r="E226" s="5" t="inlineStr">
        <is>
          <t>bfr</t>
        </is>
      </c>
      <c r="F226" s="12" t="n"/>
      <c r="G226" s="5" t="inlineStr">
        <is>
          <t>different product: tracked as bfr, subject is MF</t>
        </is>
      </c>
    </row>
    <row r="227">
      <c r="A227" s="5" t="inlineStr">
        <is>
          <t>Emerson Square</t>
        </is>
      </c>
      <c r="B227" s="5" t="inlineStr">
        <is>
          <t>1701 E 8th St, Tempe, AZ 85281-8101</t>
        </is>
      </c>
      <c r="C227" s="10" t="n">
        <v>7.5</v>
      </c>
      <c r="D227" s="7" t="n">
        <v>188</v>
      </c>
      <c r="E227" s="5" t="inlineStr">
        <is>
          <t>mf</t>
        </is>
      </c>
      <c r="F227" s="8" t="n">
        <v>1985</v>
      </c>
      <c r="G227" s="5" t="inlineStr">
        <is>
          <t>outside the service's preselection of 20: its rents are tracked but no unit group was quoted for it, so it is listed nearby</t>
        </is>
      </c>
    </row>
    <row r="228">
      <c r="A228" s="5" t="inlineStr">
        <is>
          <t>Shoreline at the Lakes</t>
        </is>
      </c>
      <c r="B228" s="5" t="inlineStr">
        <is>
          <t>1525 E Baseline Rd, Tempe, AZ 85283-1411</t>
        </is>
      </c>
      <c r="C228" s="10" t="n">
        <v>7.5</v>
      </c>
      <c r="D228" s="7" t="n">
        <v>153</v>
      </c>
      <c r="E228" s="5" t="inlineStr">
        <is>
          <t>mf</t>
        </is>
      </c>
      <c r="F228" s="8" t="n">
        <v>1978</v>
      </c>
      <c r="G228" s="5" t="inlineStr">
        <is>
          <t>outside the service's preselection of 20: its rents are tracked but no unit group was quoted for it, so it is listed nearby</t>
        </is>
      </c>
    </row>
    <row r="229">
      <c r="A229" s="5" t="inlineStr">
        <is>
          <t>Soleil</t>
        </is>
      </c>
      <c r="B229" s="5" t="inlineStr">
        <is>
          <t>725 N Dobson Rd, Chandler, AZ 85224</t>
        </is>
      </c>
      <c r="C229" s="10" t="n">
        <v>7.54</v>
      </c>
      <c r="D229" s="7" t="n">
        <v>188</v>
      </c>
      <c r="E229" s="5" t="inlineStr">
        <is>
          <t>mf</t>
        </is>
      </c>
      <c r="F229" s="8" t="n">
        <v>1995</v>
      </c>
      <c r="G229" s="5" t="inlineStr">
        <is>
          <t>vintage 1995 is 14 years from the subject's 1981, outside the +/-10-year band</t>
        </is>
      </c>
    </row>
    <row r="230">
      <c r="A230" s="5" t="inlineStr">
        <is>
          <t>Onnix</t>
        </is>
      </c>
      <c r="B230" s="5" t="inlineStr">
        <is>
          <t>1500 E Broadway Rd, Tempe, AZ 85282-1640</t>
        </is>
      </c>
      <c r="C230" s="10" t="n">
        <v>7.55</v>
      </c>
      <c r="D230" s="7" t="n">
        <v>660</v>
      </c>
      <c r="E230" s="5" t="inlineStr">
        <is>
          <t>mf</t>
        </is>
      </c>
      <c r="F230" s="8" t="n">
        <v>1984</v>
      </c>
      <c r="G230" s="5" t="inlineStr">
        <is>
          <t>outside the service's preselection of 20: its rents are tracked but no unit group was quoted for it, so it is listed nearby</t>
        </is>
      </c>
    </row>
    <row r="231">
      <c r="A231" s="5" t="inlineStr">
        <is>
          <t>The Linq</t>
        </is>
      </c>
      <c r="B231" s="5" t="inlineStr">
        <is>
          <t>125 S Alma School Rd, Chandler, AZ 85224-7600</t>
        </is>
      </c>
      <c r="C231" s="10" t="n">
        <v>7.55</v>
      </c>
      <c r="D231" s="7" t="n">
        <v>324</v>
      </c>
      <c r="E231" s="5" t="inlineStr">
        <is>
          <t>mf</t>
        </is>
      </c>
      <c r="F231" s="8" t="n">
        <v>2000</v>
      </c>
      <c r="G231" s="5" t="inlineStr">
        <is>
          <t>vintage 2000 is 19 years from the subject's 1981, outside the +/-10-year band</t>
        </is>
      </c>
    </row>
    <row r="232">
      <c r="A232" s="5" t="inlineStr">
        <is>
          <t>The Enclave</t>
        </is>
      </c>
      <c r="B232" s="5" t="inlineStr">
        <is>
          <t>3255 S Dorsey Ln, Tempe, AZ 85282</t>
        </is>
      </c>
      <c r="C232" s="10" t="n">
        <v>7.59</v>
      </c>
      <c r="D232" s="7" t="n">
        <v>204</v>
      </c>
      <c r="E232" s="5" t="inlineStr">
        <is>
          <t>mf</t>
        </is>
      </c>
      <c r="F232" s="8" t="n">
        <v>1994</v>
      </c>
      <c r="G232" s="5" t="inlineStr">
        <is>
          <t>vintage 1994 is 13 years from the subject's 1981, outside the +/-10-year band</t>
        </is>
      </c>
    </row>
    <row r="233">
      <c r="A233" s="5" t="inlineStr">
        <is>
          <t>Elevate at Discovery Park</t>
        </is>
      </c>
      <c r="B233" s="5" t="inlineStr">
        <is>
          <t>1820 E Bell De Mar Rd, Tempe, AZ 85283-4198</t>
        </is>
      </c>
      <c r="C233" s="10" t="n">
        <v>7.6</v>
      </c>
      <c r="D233" s="7" t="n">
        <v>379</v>
      </c>
      <c r="E233" s="5" t="inlineStr">
        <is>
          <t>mf</t>
        </is>
      </c>
      <c r="F233" s="8" t="n">
        <v>1984</v>
      </c>
      <c r="G233" s="5" t="inlineStr">
        <is>
          <t>outside the service's preselection of 20: its rents are tracked but no unit group was quoted for it, so it is listed nearby</t>
        </is>
      </c>
    </row>
    <row r="234">
      <c r="A234" s="5" t="inlineStr">
        <is>
          <t>Quintana at Cooley Station</t>
        </is>
      </c>
      <c r="B234" s="5" t="inlineStr">
        <is>
          <t>2515 S Verde Dr, Gilbert, AZ 85295</t>
        </is>
      </c>
      <c r="C234" s="10" t="n">
        <v>7.64</v>
      </c>
      <c r="D234" s="7" t="n">
        <v>191</v>
      </c>
      <c r="E234" s="5" t="inlineStr">
        <is>
          <t>mf</t>
        </is>
      </c>
      <c r="F234" s="8" t="n">
        <v>2024</v>
      </c>
      <c r="G234" s="5" t="inlineStr">
        <is>
          <t>vintage 2024 is 43 years from the subject's 1981, outside the +/-10-year band</t>
        </is>
      </c>
    </row>
    <row r="235">
      <c r="A235" s="5" t="inlineStr">
        <is>
          <t>The Cooper 202</t>
        </is>
      </c>
      <c r="B235" s="5" t="inlineStr">
        <is>
          <t>1450 S Cooper Rd, Chandler, AZ 85286</t>
        </is>
      </c>
      <c r="C235" s="10" t="n">
        <v>7.64</v>
      </c>
      <c r="D235" s="7" t="n">
        <v>332</v>
      </c>
      <c r="E235" s="5" t="inlineStr">
        <is>
          <t>mf</t>
        </is>
      </c>
      <c r="F235" s="8" t="n">
        <v>2016</v>
      </c>
      <c r="G235" s="5" t="inlineStr">
        <is>
          <t>vintage 2016 is 35 years from the subject's 1981, outside the +/-10-year band</t>
        </is>
      </c>
    </row>
    <row r="236">
      <c r="A236" s="5" t="inlineStr">
        <is>
          <t>The Mason</t>
        </is>
      </c>
      <c r="B236" s="5" t="inlineStr">
        <is>
          <t>7961 E Elliot Rd, Mesa, AZ 85212</t>
        </is>
      </c>
      <c r="C236" s="10" t="n">
        <v>7.64</v>
      </c>
      <c r="D236" s="7" t="n">
        <v>419</v>
      </c>
      <c r="E236" s="5" t="inlineStr">
        <is>
          <t>mf</t>
        </is>
      </c>
      <c r="F236" s="8" t="n">
        <v>2026</v>
      </c>
      <c r="G236" s="5" t="inlineStr">
        <is>
          <t>vintage 2026 is 45 years from the subject's 1981, outside the +/-10-year band</t>
        </is>
      </c>
    </row>
    <row r="237">
      <c r="A237" s="5" t="inlineStr">
        <is>
          <t>Springs at Red Mountain</t>
        </is>
      </c>
      <c r="B237" s="5" t="inlineStr">
        <is>
          <t>2639 N Power Rd, Mesa, AZ 85215-2960</t>
        </is>
      </c>
      <c r="C237" s="10" t="n">
        <v>7.66</v>
      </c>
      <c r="D237" s="7" t="n">
        <v>192</v>
      </c>
      <c r="E237" s="5" t="inlineStr">
        <is>
          <t>mf</t>
        </is>
      </c>
      <c r="F237" s="8" t="n">
        <v>2020</v>
      </c>
      <c r="G237" s="5" t="inlineStr">
        <is>
          <t>vintage 2020 is 39 years from the subject's 1981, outside the +/-10-year band</t>
        </is>
      </c>
    </row>
    <row r="238">
      <c r="A238" s="5" t="inlineStr">
        <is>
          <t>Murietta at ASU</t>
        </is>
      </c>
      <c r="B238" s="5" t="inlineStr">
        <is>
          <t>1717 S Dorsey Ln, Tempe, AZ 85281</t>
        </is>
      </c>
      <c r="C238" s="10" t="n">
        <v>7.67</v>
      </c>
      <c r="D238" s="7" t="n">
        <v>292</v>
      </c>
      <c r="E238" s="5" t="inlineStr">
        <is>
          <t>mf</t>
        </is>
      </c>
      <c r="F238" s="8" t="n">
        <v>1986</v>
      </c>
      <c r="G238" s="5" t="inlineStr">
        <is>
          <t>outside the service's preselection of 20: its rents are tracked but no unit group was quoted for it, so it is listed nearby</t>
        </is>
      </c>
    </row>
    <row r="239">
      <c r="A239" s="5" t="inlineStr">
        <is>
          <t>Olympus Chandler at the Park</t>
        </is>
      </c>
      <c r="B239" s="5" t="inlineStr">
        <is>
          <t>1333 N Parklane Blvd, Chandler, AZ 85224-0102</t>
        </is>
      </c>
      <c r="C239" s="10" t="n">
        <v>7.67</v>
      </c>
      <c r="D239" s="7" t="n">
        <v>291</v>
      </c>
      <c r="E239" s="5" t="inlineStr">
        <is>
          <t>mf</t>
        </is>
      </c>
      <c r="F239" s="8" t="n">
        <v>2023</v>
      </c>
      <c r="G239" s="5" t="inlineStr">
        <is>
          <t>vintage 2023 is 42 years from the subject's 1981, outside the +/-10-year band</t>
        </is>
      </c>
    </row>
    <row r="240">
      <c r="A240" s="5" t="inlineStr">
        <is>
          <t>Artisan at Downtown Chandler</t>
        </is>
      </c>
      <c r="B240" s="5" t="inlineStr">
        <is>
          <t>868 S Arizona Ave, Chandler, AZ 85225</t>
        </is>
      </c>
      <c r="C240" s="10" t="n">
        <v>7.68</v>
      </c>
      <c r="D240" s="7" t="n">
        <v>374</v>
      </c>
      <c r="E240" s="5" t="inlineStr">
        <is>
          <t>mf</t>
        </is>
      </c>
      <c r="F240" s="8" t="n">
        <v>1985</v>
      </c>
      <c r="G240" s="5" t="inlineStr">
        <is>
          <t>outside the service's preselection of 20: its rents are tracked but no unit group was quoted for it, so it is listed nearby</t>
        </is>
      </c>
    </row>
    <row r="241">
      <c r="A241" s="5" t="inlineStr">
        <is>
          <t>Icon at Cooley Station</t>
        </is>
      </c>
      <c r="B241" s="5" t="inlineStr">
        <is>
          <t>2550 S Recker Rd, Gilbert, AZ 85295-4117</t>
        </is>
      </c>
      <c r="C241" s="10" t="n">
        <v>7.68</v>
      </c>
      <c r="D241" s="7" t="n">
        <v>248</v>
      </c>
      <c r="E241" s="5" t="inlineStr">
        <is>
          <t>mf</t>
        </is>
      </c>
      <c r="F241" s="8" t="n">
        <v>2023</v>
      </c>
      <c r="G241" s="5" t="inlineStr">
        <is>
          <t>vintage 2023 is 42 years from the subject's 1981, outside the +/-10-year band</t>
        </is>
      </c>
    </row>
    <row r="242">
      <c r="A242" s="5" t="inlineStr">
        <is>
          <t>Gateway at Cooley Station</t>
        </is>
      </c>
      <c r="B242" s="5" t="inlineStr">
        <is>
          <t>4210 E Williams Field Rd, Gilbert, AZ 85295</t>
        </is>
      </c>
      <c r="C242" s="10" t="n">
        <v>7.71</v>
      </c>
      <c r="D242" s="7" t="n">
        <v>276</v>
      </c>
      <c r="E242" s="5" t="inlineStr">
        <is>
          <t>mf</t>
        </is>
      </c>
      <c r="F242" s="8" t="n">
        <v>2021</v>
      </c>
      <c r="G242" s="5" t="inlineStr">
        <is>
          <t>vintage 2021 is 40 years from the subject's 1981, outside the +/-10-year band</t>
        </is>
      </c>
    </row>
    <row r="243">
      <c r="A243" s="5" t="inlineStr">
        <is>
          <t>Aviva Mesa</t>
        </is>
      </c>
      <c r="B243" s="5" t="inlineStr">
        <is>
          <t>8340 E Baseline Rd, Mesa, AZ 85209</t>
        </is>
      </c>
      <c r="C243" s="10" t="n">
        <v>7.73</v>
      </c>
      <c r="D243" s="7" t="n">
        <v>325</v>
      </c>
      <c r="E243" s="5" t="inlineStr">
        <is>
          <t>mf</t>
        </is>
      </c>
      <c r="F243" s="8" t="n">
        <v>2017</v>
      </c>
      <c r="G243" s="5" t="inlineStr">
        <is>
          <t>vintage 2017 is 36 years from the subject's 1981, outside the +/-10-year band</t>
        </is>
      </c>
    </row>
    <row r="244">
      <c r="A244" s="5" t="inlineStr">
        <is>
          <t>Verena at Gilbert</t>
        </is>
      </c>
      <c r="B244" s="5" t="inlineStr">
        <is>
          <t>1505 E Willis Rd, Gilbert, AZ 85297</t>
        </is>
      </c>
      <c r="C244" s="10" t="n">
        <v>7.73</v>
      </c>
      <c r="D244" s="7" t="n">
        <v>202</v>
      </c>
      <c r="E244" s="5" t="inlineStr">
        <is>
          <t>mf</t>
        </is>
      </c>
      <c r="F244" s="8" t="n">
        <v>2020</v>
      </c>
      <c r="G244" s="5" t="inlineStr">
        <is>
          <t>excluded from comp sets by the tracker: age_restricted</t>
        </is>
      </c>
    </row>
    <row r="245">
      <c r="A245" s="5" t="inlineStr">
        <is>
          <t>Parklane Commons</t>
        </is>
      </c>
      <c r="B245" s="5" t="inlineStr">
        <is>
          <t>1283 W Parklane Blvd, Chandler, AZ 85224-5216</t>
        </is>
      </c>
      <c r="C245" s="10" t="n">
        <v>7.75</v>
      </c>
      <c r="D245" s="7" t="n">
        <v>180</v>
      </c>
      <c r="E245" s="5" t="inlineStr">
        <is>
          <t>mf</t>
        </is>
      </c>
      <c r="F245" s="8" t="n">
        <v>1986</v>
      </c>
      <c r="G245" s="5" t="inlineStr">
        <is>
          <t>outside the service's preselection of 20: its rents are tracked but no unit group was quoted for it, so it is listed nearby</t>
        </is>
      </c>
    </row>
    <row r="246">
      <c r="A246" s="5" t="inlineStr">
        <is>
          <t>Ascent On Spence</t>
        </is>
      </c>
      <c r="B246" s="5" t="inlineStr">
        <is>
          <t>1249 E Spence Ave, Tempe, AZ 85281</t>
        </is>
      </c>
      <c r="C246" s="10" t="n">
        <v>7.77</v>
      </c>
      <c r="D246" s="7" t="n">
        <v>112</v>
      </c>
      <c r="E246" s="5" t="inlineStr">
        <is>
          <t>mf</t>
        </is>
      </c>
      <c r="F246" s="8" t="n">
        <v>1986</v>
      </c>
      <c r="G246" s="5" t="inlineStr">
        <is>
          <t>outside the service's preselection of 20: its rents are tracked but no unit group was quoted for it, so it is listed nearby</t>
        </is>
      </c>
    </row>
    <row r="247">
      <c r="A247" s="5" t="inlineStr">
        <is>
          <t>San Palmas</t>
        </is>
      </c>
      <c r="B247" s="5" t="inlineStr">
        <is>
          <t>1111 N Mission Park Blvd, Chandler, AZ 85224</t>
        </is>
      </c>
      <c r="C247" s="10" t="n">
        <v>7.81</v>
      </c>
      <c r="D247" s="7" t="n">
        <v>240</v>
      </c>
      <c r="E247" s="5" t="inlineStr">
        <is>
          <t>mf</t>
        </is>
      </c>
      <c r="F247" s="8" t="n">
        <v>1998</v>
      </c>
      <c r="G247" s="5" t="inlineStr">
        <is>
          <t>vintage 1998 is 17 years from the subject's 1981, outside the +/-10-year band</t>
        </is>
      </c>
    </row>
    <row r="248">
      <c r="A248" s="5" t="inlineStr">
        <is>
          <t>Acero Val Vista</t>
        </is>
      </c>
      <c r="B248" s="5" t="inlineStr">
        <is>
          <t>1500 E Melrose St, Gilbert, AZ 85297</t>
        </is>
      </c>
      <c r="C248" s="10" t="n">
        <v>7.83</v>
      </c>
      <c r="D248" s="7" t="n">
        <v>328</v>
      </c>
      <c r="E248" s="5" t="inlineStr">
        <is>
          <t>mf</t>
        </is>
      </c>
      <c r="F248" s="8" t="n">
        <v>2021</v>
      </c>
      <c r="G248" s="5" t="inlineStr">
        <is>
          <t>vintage 2021 is 40 years from the subject's 1981, outside the +/-10-year band</t>
        </is>
      </c>
    </row>
    <row r="249">
      <c r="A249" s="5" t="inlineStr">
        <is>
          <t>Arches at Hidden Creek</t>
        </is>
      </c>
      <c r="B249" s="5" t="inlineStr">
        <is>
          <t>1586 W Maggio Way, Chandler, AZ 85224</t>
        </is>
      </c>
      <c r="C249" s="10" t="n">
        <v>7.83</v>
      </c>
      <c r="D249" s="7" t="n">
        <v>432</v>
      </c>
      <c r="E249" s="5" t="inlineStr">
        <is>
          <t>mf</t>
        </is>
      </c>
      <c r="F249" s="8" t="n">
        <v>1985</v>
      </c>
      <c r="G249" s="5" t="inlineStr">
        <is>
          <t>outside the service's preselection of 20: its rents are tracked but no unit group was quoted for it, so it is listed nearby</t>
        </is>
      </c>
    </row>
    <row r="250">
      <c r="A250" s="5" t="inlineStr">
        <is>
          <t>Avilla Enclave</t>
        </is>
      </c>
      <c r="B250" s="5" t="inlineStr">
        <is>
          <t>8433 E Guadalupe Rd, Mesa, AZ 85212</t>
        </is>
      </c>
      <c r="C250" s="10" t="n">
        <v>7.84</v>
      </c>
      <c r="D250" s="7" t="n">
        <v>96</v>
      </c>
      <c r="E250" s="5" t="inlineStr">
        <is>
          <t>bfr</t>
        </is>
      </c>
      <c r="F250" s="12" t="n"/>
      <c r="G250" s="5" t="inlineStr">
        <is>
          <t>different product: tracked as bfr, subject is MF</t>
        </is>
      </c>
    </row>
    <row r="251">
      <c r="A251" s="5" t="inlineStr">
        <is>
          <t>Solstice of Mesa</t>
        </is>
      </c>
      <c r="B251" s="5" t="inlineStr">
        <is>
          <t>307 S Hawes Rd, Mesa, AZ 85208</t>
        </is>
      </c>
      <c r="C251" s="10" t="n">
        <v>7.85</v>
      </c>
      <c r="D251" s="7" t="n">
        <v>237</v>
      </c>
      <c r="E251" s="5" t="inlineStr">
        <is>
          <t>mf</t>
        </is>
      </c>
      <c r="F251" s="8" t="n">
        <v>2022</v>
      </c>
      <c r="G251" s="5" t="inlineStr">
        <is>
          <t>excluded from comp sets by the tracker: income_restricted</t>
        </is>
      </c>
    </row>
    <row r="252">
      <c r="A252" s="5" t="inlineStr">
        <is>
          <t>Nexa Apartments</t>
        </is>
      </c>
      <c r="B252" s="5" t="inlineStr">
        <is>
          <t>1205-1221 E Apache Blvd, Tempe, AZ 85281</t>
        </is>
      </c>
      <c r="C252" s="10" t="n">
        <v>7.86</v>
      </c>
      <c r="D252" s="7" t="n">
        <v>399</v>
      </c>
      <c r="E252" s="5" t="inlineStr">
        <is>
          <t>mf</t>
        </is>
      </c>
      <c r="F252" s="8" t="n">
        <v>2017</v>
      </c>
      <c r="G252" s="5" t="inlineStr">
        <is>
          <t>vintage 2017 is 36 years from the subject's 1981, outside the +/-10-year band</t>
        </is>
      </c>
    </row>
    <row r="253">
      <c r="A253" s="5" t="inlineStr">
        <is>
          <t>Volta on Broadway</t>
        </is>
      </c>
      <c r="B253" s="5" t="inlineStr">
        <is>
          <t>1221 E Broadway Rd, Tempe, AZ 85282-1543</t>
        </is>
      </c>
      <c r="C253" s="10" t="n">
        <v>7.87</v>
      </c>
      <c r="D253" s="7" t="n">
        <v>194</v>
      </c>
      <c r="E253" s="5" t="inlineStr">
        <is>
          <t>mf</t>
        </is>
      </c>
      <c r="F253" s="8" t="n">
        <v>2016</v>
      </c>
      <c r="G253" s="5" t="inlineStr">
        <is>
          <t>vintage 2016 is 35 years from the subject's 1981, outside the +/-10-year band</t>
        </is>
      </c>
    </row>
    <row r="254">
      <c r="A254" s="5" t="inlineStr">
        <is>
          <t>Town Germann</t>
        </is>
      </c>
      <c r="B254" s="5" t="inlineStr">
        <is>
          <t>4111 S Silverado Ct, Gilbert, AZ 85297</t>
        </is>
      </c>
      <c r="C254" s="10" t="n">
        <v>7.91</v>
      </c>
      <c r="D254" s="7" t="n">
        <v>209</v>
      </c>
      <c r="E254" s="5" t="inlineStr">
        <is>
          <t>bfr</t>
        </is>
      </c>
      <c r="F254" s="12" t="n"/>
      <c r="G254" s="5" t="inlineStr">
        <is>
          <t>different product: tracked as bfr, subject is MF</t>
        </is>
      </c>
    </row>
    <row r="255">
      <c r="A255" s="5" t="inlineStr">
        <is>
          <t>IMT Desert Palm Village</t>
        </is>
      </c>
      <c r="B255" s="5" t="inlineStr">
        <is>
          <t>1215 E Vista Del Cerro Dr, Tempe, AZ 85281</t>
        </is>
      </c>
      <c r="C255" s="10" t="n">
        <v>7.93</v>
      </c>
      <c r="D255" s="7" t="n">
        <v>512</v>
      </c>
      <c r="E255" s="5" t="inlineStr">
        <is>
          <t>mf</t>
        </is>
      </c>
      <c r="F255" s="8" t="n">
        <v>1980</v>
      </c>
      <c r="G255" s="5" t="inlineStr">
        <is>
          <t>outside the service's preselection of 20: its rents are tracked but no unit group was quoted for it, so it is listed nearby</t>
        </is>
      </c>
    </row>
    <row r="256">
      <c r="A256" s="5" t="inlineStr">
        <is>
          <t>The Hyve</t>
        </is>
      </c>
      <c r="B256" s="5" t="inlineStr">
        <is>
          <t>1260 E University Dr, Tempe, AZ 85281</t>
        </is>
      </c>
      <c r="C256" s="10" t="n">
        <v>7.98</v>
      </c>
      <c r="D256" s="7" t="n">
        <v>296</v>
      </c>
      <c r="E256" s="5" t="inlineStr">
        <is>
          <t>mf</t>
        </is>
      </c>
      <c r="F256" s="8" t="n">
        <v>2015</v>
      </c>
      <c r="G256" s="5" t="inlineStr">
        <is>
          <t>vintage 2015 is 34 years from the subject's 1981, outside the +/-10-year band</t>
        </is>
      </c>
    </row>
    <row r="257">
      <c r="A257" s="5" t="inlineStr">
        <is>
          <t>Scottsdale Haciendas</t>
        </is>
      </c>
      <c r="B257" s="5" t="inlineStr">
        <is>
          <t>985 N Granite Reef Rd, Scottsdale, AZ 85257</t>
        </is>
      </c>
      <c r="C257" s="10" t="n">
        <v>8</v>
      </c>
      <c r="D257" s="7" t="n">
        <v>179</v>
      </c>
      <c r="E257" s="5" t="inlineStr">
        <is>
          <t>mf</t>
        </is>
      </c>
      <c r="F257" s="8" t="n">
        <v>1985</v>
      </c>
      <c r="G257" s="5" t="inlineStr">
        <is>
          <t>outside the service's preselection of 20: its rents are tracked but no unit group was quoted for it, so it is listed nearby</t>
        </is>
      </c>
    </row>
    <row r="258">
      <c r="A258" s="5" t="inlineStr">
        <is>
          <t>Stonebridge Ranch Apartments</t>
        </is>
      </c>
      <c r="B258" s="5" t="inlineStr">
        <is>
          <t>575 W Pecos Rd, Chandler, AZ 85225-7402</t>
        </is>
      </c>
      <c r="C258" s="10" t="n">
        <v>8.02</v>
      </c>
      <c r="D258" s="7" t="n">
        <v>392</v>
      </c>
      <c r="E258" s="5" t="inlineStr">
        <is>
          <t>mf</t>
        </is>
      </c>
      <c r="F258" s="8" t="n">
        <v>2002</v>
      </c>
      <c r="G258" s="5" t="inlineStr">
        <is>
          <t>vintage 2002 is 21 years from the subject's 1981, outside the +/-10-year band</t>
        </is>
      </c>
    </row>
    <row r="259">
      <c r="A259" s="5" t="inlineStr">
        <is>
          <t>The Flats at Granite Reef</t>
        </is>
      </c>
      <c r="B259" s="5" t="inlineStr">
        <is>
          <t>980 N Granite Reef Rd, Scottsdale, AZ 85257-4545</t>
        </is>
      </c>
      <c r="C259" s="10" t="n">
        <v>8.050000000000001</v>
      </c>
      <c r="D259" s="7" t="n">
        <v>135</v>
      </c>
      <c r="E259" s="5" t="inlineStr">
        <is>
          <t>mf</t>
        </is>
      </c>
      <c r="F259" s="8" t="n">
        <v>1977</v>
      </c>
      <c r="G259" s="5" t="inlineStr">
        <is>
          <t>outside the service's preselection of 20: its rents are tracked but no unit group was quoted for it, so it is listed nearby</t>
        </is>
      </c>
    </row>
    <row r="260">
      <c r="A260" s="5" t="inlineStr">
        <is>
          <t>Paseo on University</t>
        </is>
      </c>
      <c r="B260" s="5" t="inlineStr">
        <is>
          <t>1255 E University Dr, Tempe, AZ 85281</t>
        </is>
      </c>
      <c r="C260" s="10" t="n">
        <v>8.07</v>
      </c>
      <c r="D260" s="7" t="n">
        <v>510</v>
      </c>
      <c r="E260" s="5" t="inlineStr">
        <is>
          <t>mf</t>
        </is>
      </c>
      <c r="F260" s="8" t="n">
        <v>1987</v>
      </c>
      <c r="G260" s="5" t="inlineStr">
        <is>
          <t>excluded from comp sets by the tracker: student</t>
        </is>
      </c>
    </row>
    <row r="261">
      <c r="A261" s="5" t="inlineStr">
        <is>
          <t>Sunrise in Chandler</t>
        </is>
      </c>
      <c r="B261" s="5" t="inlineStr">
        <is>
          <t>1750 W Boston St, Chandler, AZ 85224</t>
        </is>
      </c>
      <c r="C261" s="10" t="n">
        <v>8.1</v>
      </c>
      <c r="D261" s="7" t="n">
        <v>177</v>
      </c>
      <c r="E261" s="5" t="inlineStr">
        <is>
          <t>mf</t>
        </is>
      </c>
      <c r="F261" s="8" t="n">
        <v>1985</v>
      </c>
      <c r="G261" s="5" t="inlineStr">
        <is>
          <t>outside the service's preselection of 20: its rents are tracked but no unit group was quoted for it, so it is listed nearby</t>
        </is>
      </c>
    </row>
    <row r="262">
      <c r="A262" s="5" t="inlineStr">
        <is>
          <t>Tracked community 1 (name withheld by the publishing check)</t>
        </is>
      </c>
      <c r="B262" s="12" t="n"/>
      <c r="C262" s="10" t="n">
        <v>8.119999999999999</v>
      </c>
      <c r="D262" s="7" t="n">
        <v>722</v>
      </c>
      <c r="E262" s="5" t="inlineStr">
        <is>
          <t>mf</t>
        </is>
      </c>
      <c r="F262" s="8" t="n">
        <v>2026</v>
      </c>
      <c r="G262" s="5" t="inlineStr">
        <is>
          <t>vintage 2026 is 45 years from the subject's 1981, outside the +/-10-year band; name withheld by the publishing check</t>
        </is>
      </c>
    </row>
    <row r="263">
      <c r="A263" s="5" t="inlineStr">
        <is>
          <t>The Rev</t>
        </is>
      </c>
      <c r="B263" s="5" t="inlineStr">
        <is>
          <t>3409 S Rural Rd, Tempe, AZ 85282-5436</t>
        </is>
      </c>
      <c r="C263" s="10" t="n">
        <v>8.119999999999999</v>
      </c>
      <c r="D263" s="7" t="n">
        <v>172</v>
      </c>
      <c r="E263" s="5" t="inlineStr">
        <is>
          <t>mf</t>
        </is>
      </c>
      <c r="F263" s="8" t="n">
        <v>1972</v>
      </c>
      <c r="G263" s="5" t="inlineStr">
        <is>
          <t>outside the service's preselection of 20: its rents are tracked but no unit group was quoted for it, so it is listed nearby</t>
        </is>
      </c>
    </row>
    <row r="264">
      <c r="A264" s="5" t="inlineStr">
        <is>
          <t>Nines at Lakeside</t>
        </is>
      </c>
      <c r="B264" s="5" t="inlineStr">
        <is>
          <t>999 E Baseline Rd, Tempe, AZ 85283-1366</t>
        </is>
      </c>
      <c r="C264" s="10" t="n">
        <v>8.140000000000001</v>
      </c>
      <c r="D264" s="7" t="n">
        <v>244</v>
      </c>
      <c r="E264" s="5" t="inlineStr">
        <is>
          <t>mf</t>
        </is>
      </c>
      <c r="F264" s="8" t="n">
        <v>1974</v>
      </c>
      <c r="G264" s="5" t="inlineStr">
        <is>
          <t>outside the service's preselection of 20: its rents are tracked but no unit group was quoted for it, so it is listed nearby</t>
        </is>
      </c>
    </row>
    <row r="265">
      <c r="A265" s="5" t="inlineStr">
        <is>
          <t>Harper</t>
        </is>
      </c>
      <c r="B265" s="5" t="inlineStr">
        <is>
          <t>4690 S Lakeshore Dr, Tempe, AZ 85282-7165</t>
        </is>
      </c>
      <c r="C265" s="10" t="n">
        <v>8.15</v>
      </c>
      <c r="D265" s="7" t="n">
        <v>367</v>
      </c>
      <c r="E265" s="5" t="inlineStr">
        <is>
          <t>mf</t>
        </is>
      </c>
      <c r="F265" s="8" t="n">
        <v>2017</v>
      </c>
      <c r="G265" s="5" t="inlineStr">
        <is>
          <t>vintage 2017 is 36 years from the subject's 1981, outside the +/-10-year band</t>
        </is>
      </c>
    </row>
    <row r="266">
      <c r="A266" s="5" t="inlineStr">
        <is>
          <t>Lazo Apartments</t>
        </is>
      </c>
      <c r="B266" s="5" t="inlineStr">
        <is>
          <t>875 W Pecos Rd, Chandler, AZ 85225</t>
        </is>
      </c>
      <c r="C266" s="10" t="n">
        <v>8.18</v>
      </c>
      <c r="D266" s="7" t="n">
        <v>346</v>
      </c>
      <c r="E266" s="5" t="inlineStr">
        <is>
          <t>mf</t>
        </is>
      </c>
      <c r="F266" s="8" t="n">
        <v>2002</v>
      </c>
      <c r="G266" s="5" t="inlineStr">
        <is>
          <t>vintage 2002 is 21 years from the subject's 1981, outside the +/-10-year band</t>
        </is>
      </c>
    </row>
    <row r="267">
      <c r="A267" s="5" t="inlineStr">
        <is>
          <t>Rambler Tempe</t>
        </is>
      </c>
      <c r="B267" s="5" t="inlineStr">
        <is>
          <t>1020 E Apache Blvd, Tempe, AZ 85281-5489</t>
        </is>
      </c>
      <c r="C267" s="10" t="n">
        <v>8.18</v>
      </c>
      <c r="D267" s="7" t="n">
        <v>289</v>
      </c>
      <c r="E267" s="5" t="inlineStr">
        <is>
          <t>mf</t>
        </is>
      </c>
      <c r="F267" s="8" t="n">
        <v>2026</v>
      </c>
      <c r="G267" s="5" t="inlineStr">
        <is>
          <t>excluded from comp sets by the tracker: student</t>
        </is>
      </c>
    </row>
    <row r="268">
      <c r="A268" s="5" t="inlineStr">
        <is>
          <t>CityScape at Lakeshore Apartments</t>
        </is>
      </c>
      <c r="B268" s="5" t="inlineStr">
        <is>
          <t>4630 S Lakeshore Dr, Tempe, AZ 85282-7164</t>
        </is>
      </c>
      <c r="C268" s="10" t="n">
        <v>8.199999999999999</v>
      </c>
      <c r="D268" s="7" t="n">
        <v>214</v>
      </c>
      <c r="E268" s="5" t="inlineStr">
        <is>
          <t>mf</t>
        </is>
      </c>
      <c r="F268" s="8" t="n">
        <v>1994</v>
      </c>
      <c r="G268" s="5" t="inlineStr">
        <is>
          <t>vintage 1994 is 13 years from the subject's 1981, outside the +/-10-year band</t>
        </is>
      </c>
    </row>
    <row r="269">
      <c r="A269" s="5" t="inlineStr">
        <is>
          <t>Casitas at San Marcos</t>
        </is>
      </c>
      <c r="B269" s="5" t="inlineStr">
        <is>
          <t>901 S Alma School Rd, Chandler, AZ 85225</t>
        </is>
      </c>
      <c r="C269" s="10" t="n">
        <v>8.210000000000001</v>
      </c>
      <c r="D269" s="7" t="n">
        <v>256</v>
      </c>
      <c r="E269" s="5" t="inlineStr">
        <is>
          <t>mf</t>
        </is>
      </c>
      <c r="F269" s="8" t="n">
        <v>2014</v>
      </c>
      <c r="G269" s="5" t="inlineStr">
        <is>
          <t>vintage 2014 is 33 years from the subject's 1981, outside the +/-10-year band</t>
        </is>
      </c>
    </row>
    <row r="270">
      <c r="A270" s="5" t="inlineStr">
        <is>
          <t>Harmony at Hawes Crossing</t>
        </is>
      </c>
      <c r="B270" s="5" t="inlineStr">
        <is>
          <t>8336 E Quality Ave, Mesa, AZ 85212</t>
        </is>
      </c>
      <c r="C270" s="10" t="n">
        <v>8.210000000000001</v>
      </c>
      <c r="D270" s="7" t="n">
        <v>236</v>
      </c>
      <c r="E270" s="5" t="inlineStr">
        <is>
          <t>mf</t>
        </is>
      </c>
      <c r="F270" s="8" t="n">
        <v>2026</v>
      </c>
      <c r="G270" s="5" t="inlineStr">
        <is>
          <t>vintage 2026 is 45 years from the subject's 1981, outside the +/-10-year band</t>
        </is>
      </c>
    </row>
    <row r="271">
      <c r="A271" s="5" t="inlineStr">
        <is>
          <t>San Valencia</t>
        </is>
      </c>
      <c r="B271" s="5" t="inlineStr">
        <is>
          <t>1450 E Germann Rd, Chandler, AZ 85286</t>
        </is>
      </c>
      <c r="C271" s="10" t="n">
        <v>8.220000000000001</v>
      </c>
      <c r="D271" s="7" t="n">
        <v>382</v>
      </c>
      <c r="E271" s="5" t="inlineStr">
        <is>
          <t>mf</t>
        </is>
      </c>
      <c r="F271" s="8" t="n">
        <v>2019</v>
      </c>
      <c r="G271" s="5" t="inlineStr">
        <is>
          <t>vintage 2019 is 38 years from the subject's 1981, outside the +/-10-year band</t>
        </is>
      </c>
    </row>
    <row r="272">
      <c r="A272" s="5" t="inlineStr">
        <is>
          <t>Avana Coronado</t>
        </is>
      </c>
      <c r="B272" s="5" t="inlineStr">
        <is>
          <t>700 N Coronado St, Chandler, AZ 85224</t>
        </is>
      </c>
      <c r="C272" s="10" t="n">
        <v>8.23</v>
      </c>
      <c r="D272" s="7" t="n">
        <v>320</v>
      </c>
      <c r="E272" s="5" t="inlineStr">
        <is>
          <t>mf</t>
        </is>
      </c>
      <c r="F272" s="8" t="n">
        <v>1998</v>
      </c>
      <c r="G272" s="5" t="inlineStr">
        <is>
          <t>vintage 1998 is 17 years from the subject's 1981, outside the +/-10-year band</t>
        </is>
      </c>
    </row>
    <row r="273">
      <c r="A273" s="5" t="inlineStr">
        <is>
          <t>Riviera Park Apartments</t>
        </is>
      </c>
      <c r="B273" s="5" t="inlineStr">
        <is>
          <t>125 S Dobson Rd, Chandler, AZ 85224</t>
        </is>
      </c>
      <c r="C273" s="10" t="n">
        <v>8.25</v>
      </c>
      <c r="D273" s="7" t="n">
        <v>201</v>
      </c>
      <c r="E273" s="5" t="inlineStr">
        <is>
          <t>mf</t>
        </is>
      </c>
      <c r="F273" s="8" t="n">
        <v>1982</v>
      </c>
      <c r="G273" s="5" t="inlineStr">
        <is>
          <t>outside the service's preselection of 20: its rents are tracked but no unit group was quoted for it, so it is listed nearby</t>
        </is>
      </c>
    </row>
    <row r="274">
      <c r="A274" s="5" t="inlineStr">
        <is>
          <t>Merino at Scottsdale</t>
        </is>
      </c>
      <c r="B274" s="5" t="inlineStr">
        <is>
          <t>8550 E McDowell Rd, Scottsdale, AZ 85257-3946</t>
        </is>
      </c>
      <c r="C274" s="10" t="n">
        <v>8.31</v>
      </c>
      <c r="D274" s="7" t="n">
        <v>160</v>
      </c>
      <c r="E274" s="5" t="inlineStr">
        <is>
          <t>mf</t>
        </is>
      </c>
      <c r="F274" s="8" t="n">
        <v>1985</v>
      </c>
      <c r="G274" s="5" t="inlineStr">
        <is>
          <t>outside the service's preselection of 20: its rents are tracked but no unit group was quoted for it, so it is listed nearby</t>
        </is>
      </c>
    </row>
    <row r="275">
      <c r="A275" s="5" t="inlineStr">
        <is>
          <t>Sky at Chandler Airpark</t>
        </is>
      </c>
      <c r="B275" s="5" t="inlineStr">
        <is>
          <t>1441 E Germann Rd, Chandler, AZ 85286-1784</t>
        </is>
      </c>
      <c r="C275" s="10" t="n">
        <v>8.31</v>
      </c>
      <c r="D275" s="7" t="n">
        <v>504</v>
      </c>
      <c r="E275" s="5" t="inlineStr">
        <is>
          <t>mf</t>
        </is>
      </c>
      <c r="F275" s="8" t="n">
        <v>2019</v>
      </c>
      <c r="G275" s="5" t="inlineStr">
        <is>
          <t>vintage 2019 is 38 years from the subject's 1981, outside the +/-10-year band</t>
        </is>
      </c>
    </row>
    <row r="276">
      <c r="A276" s="5" t="inlineStr">
        <is>
          <t>Lakeview at the Bay</t>
        </is>
      </c>
      <c r="B276" s="5" t="inlineStr">
        <is>
          <t>995 E Baseline Rd, Tempe, AZ 85283-1333</t>
        </is>
      </c>
      <c r="C276" s="10" t="n">
        <v>8.32</v>
      </c>
      <c r="D276" s="7" t="n">
        <v>370</v>
      </c>
      <c r="E276" s="5" t="inlineStr">
        <is>
          <t>mf</t>
        </is>
      </c>
      <c r="F276" s="8" t="n">
        <v>1985</v>
      </c>
      <c r="G276" s="5" t="inlineStr">
        <is>
          <t>outside the service's preselection of 20: its rents are tracked but no unit group was quoted for it, so it is listed nearby</t>
        </is>
      </c>
    </row>
    <row r="277">
      <c r="A277" s="5" t="inlineStr">
        <is>
          <t>Northbend</t>
        </is>
      </c>
      <c r="B277" s="5" t="inlineStr">
        <is>
          <t>906 N Miller Rd, Tempe, AZ 85288</t>
        </is>
      </c>
      <c r="C277" s="10" t="n">
        <v>8.35</v>
      </c>
      <c r="D277" s="7" t="n">
        <v>607</v>
      </c>
      <c r="E277" s="5" t="inlineStr">
        <is>
          <t>mf</t>
        </is>
      </c>
      <c r="F277" s="8" t="n">
        <v>2024</v>
      </c>
      <c r="G277" s="5" t="inlineStr">
        <is>
          <t>vintage 2024 is 43 years from the subject's 1981, outside the +/-10-year band</t>
        </is>
      </c>
    </row>
    <row r="278">
      <c r="A278" s="5" t="inlineStr">
        <is>
          <t>Pinnacle Terrace</t>
        </is>
      </c>
      <c r="B278" s="5" t="inlineStr">
        <is>
          <t>801 N Federal St, Chandler, AZ 85226</t>
        </is>
      </c>
      <c r="C278" s="10" t="n">
        <v>8.35</v>
      </c>
      <c r="D278" s="7" t="n">
        <v>300</v>
      </c>
      <c r="E278" s="5" t="inlineStr">
        <is>
          <t>mf</t>
        </is>
      </c>
      <c r="F278" s="8" t="n">
        <v>1998</v>
      </c>
      <c r="G278" s="5" t="inlineStr">
        <is>
          <t>vintage 1998 is 17 years from the subject's 1981, outside the +/-10-year band</t>
        </is>
      </c>
    </row>
    <row r="279">
      <c r="A279" s="5" t="inlineStr">
        <is>
          <t>Mira Tempe</t>
        </is>
      </c>
      <c r="B279" s="5" t="inlineStr">
        <is>
          <t>655 S Rural Rd, Tempe, AZ 85288</t>
        </is>
      </c>
      <c r="C279" s="10" t="n">
        <v>8.42</v>
      </c>
      <c r="D279" s="7" t="n">
        <v>333</v>
      </c>
      <c r="E279" s="5" t="inlineStr">
        <is>
          <t>mf</t>
        </is>
      </c>
      <c r="F279" s="8" t="n">
        <v>2025</v>
      </c>
      <c r="G279" s="5" t="inlineStr">
        <is>
          <t>vintage 2025 is 44 years from the subject's 1981, outside the +/-10-year band</t>
        </is>
      </c>
    </row>
    <row r="280">
      <c r="A280" s="5" t="inlineStr">
        <is>
          <t>Noria Robson Luxury Apartments</t>
        </is>
      </c>
      <c r="B280" s="5" t="inlineStr">
        <is>
          <t>2177 S McQueen Rd, Chandler, AZ 85286</t>
        </is>
      </c>
      <c r="C280" s="10" t="n">
        <v>8.449999999999999</v>
      </c>
      <c r="D280" s="7" t="n">
        <v>237</v>
      </c>
      <c r="E280" s="5" t="inlineStr">
        <is>
          <t>mf</t>
        </is>
      </c>
      <c r="F280" s="8" t="n">
        <v>2018</v>
      </c>
      <c r="G280" s="5" t="inlineStr">
        <is>
          <t>vintage 2018 is 37 years from the subject's 1981, outside the +/-10-year band</t>
        </is>
      </c>
    </row>
    <row r="281">
      <c r="A281" s="5" t="inlineStr">
        <is>
          <t>Camden Pecos Ranch</t>
        </is>
      </c>
      <c r="B281" s="5" t="inlineStr">
        <is>
          <t>1175 W Pecos Rd, Chandler, AZ 85224</t>
        </is>
      </c>
      <c r="C281" s="10" t="n">
        <v>8.470000000000001</v>
      </c>
      <c r="D281" s="7" t="n">
        <v>272</v>
      </c>
      <c r="E281" s="5" t="inlineStr">
        <is>
          <t>mf</t>
        </is>
      </c>
      <c r="F281" s="8" t="n">
        <v>2000</v>
      </c>
      <c r="G281" s="5" t="inlineStr">
        <is>
          <t>vintage 2000 is 19 years from the subject's 1981, outside the +/-10-year band</t>
        </is>
      </c>
    </row>
    <row r="282">
      <c r="A282" s="5" t="inlineStr">
        <is>
          <t>San Cervantes</t>
        </is>
      </c>
      <c r="B282" s="5" t="inlineStr">
        <is>
          <t>400 N Coronado St, Chandler, AZ 85224</t>
        </is>
      </c>
      <c r="C282" s="10" t="n">
        <v>8.48</v>
      </c>
      <c r="D282" s="7" t="n">
        <v>376</v>
      </c>
      <c r="E282" s="5" t="inlineStr">
        <is>
          <t>mf</t>
        </is>
      </c>
      <c r="F282" s="8" t="n">
        <v>2001</v>
      </c>
      <c r="G282" s="5" t="inlineStr">
        <is>
          <t>vintage 2001 is 20 years from the subject's 1981, outside the +/-10-year band</t>
        </is>
      </c>
    </row>
    <row r="283">
      <c r="A283" s="5" t="inlineStr">
        <is>
          <t>San Miguel</t>
        </is>
      </c>
      <c r="B283" s="5" t="inlineStr">
        <is>
          <t>8915 E Guadalupe Rd, Mesa, AZ 85212</t>
        </is>
      </c>
      <c r="C283" s="10" t="n">
        <v>8.49</v>
      </c>
      <c r="D283" s="7" t="n">
        <v>300</v>
      </c>
      <c r="E283" s="5" t="inlineStr">
        <is>
          <t>mf</t>
        </is>
      </c>
      <c r="F283" s="8" t="n">
        <v>2004</v>
      </c>
      <c r="G283" s="5" t="inlineStr">
        <is>
          <t>excluded from comp sets by the tracker: income_restricted</t>
        </is>
      </c>
    </row>
    <row r="284">
      <c r="A284" s="5" t="inlineStr">
        <is>
          <t>Ten01 on the Lake</t>
        </is>
      </c>
      <c r="B284" s="5" t="inlineStr">
        <is>
          <t>1001 E Playa del Norte Dr, Tempe, AZ 85288-2176</t>
        </is>
      </c>
      <c r="C284" s="10" t="n">
        <v>8.49</v>
      </c>
      <c r="D284" s="7" t="n">
        <v>523</v>
      </c>
      <c r="E284" s="5" t="inlineStr">
        <is>
          <t>mf</t>
        </is>
      </c>
      <c r="F284" s="8" t="n">
        <v>2008</v>
      </c>
      <c r="G284" s="5" t="inlineStr">
        <is>
          <t>vintage 2008 is 27 years from the subject's 1981, outside the +/-10-year band</t>
        </is>
      </c>
    </row>
    <row r="285">
      <c r="A285" s="5" t="inlineStr">
        <is>
          <t>Marquis at Chandler</t>
        </is>
      </c>
      <c r="B285" s="5" t="inlineStr">
        <is>
          <t>2222 W Frye Rd, Chandler, AZ 85224</t>
        </is>
      </c>
      <c r="C285" s="10" t="n">
        <v>8.51</v>
      </c>
      <c r="D285" s="7" t="n">
        <v>340</v>
      </c>
      <c r="E285" s="5" t="inlineStr">
        <is>
          <t>mf</t>
        </is>
      </c>
      <c r="F285" s="8" t="n">
        <v>2020</v>
      </c>
      <c r="G285" s="5" t="inlineStr">
        <is>
          <t>vintage 2020 is 39 years from the subject's 1981, outside the +/-10-year band</t>
        </is>
      </c>
    </row>
    <row r="286">
      <c r="A286" s="5" t="inlineStr">
        <is>
          <t>The Laurel Apartments</t>
        </is>
      </c>
      <c r="B286" s="5" t="inlineStr">
        <is>
          <t>800 W Willis Rd, Chandler, AZ 85286</t>
        </is>
      </c>
      <c r="C286" s="10" t="n">
        <v>8.51</v>
      </c>
      <c r="D286" s="7" t="n">
        <v>383</v>
      </c>
      <c r="E286" s="5" t="inlineStr">
        <is>
          <t>mf</t>
        </is>
      </c>
      <c r="F286" s="8" t="n">
        <v>2013</v>
      </c>
      <c r="G286" s="5" t="inlineStr">
        <is>
          <t>vintage 2013 is 32 years from the subject's 1981, outside the +/-10-year band</t>
        </is>
      </c>
    </row>
    <row r="287">
      <c r="A287" s="5" t="inlineStr">
        <is>
          <t>Caldera</t>
        </is>
      </c>
      <c r="B287" s="5" t="inlineStr">
        <is>
          <t>3939 W Windmills Blvd, Chandler, AZ 85226</t>
        </is>
      </c>
      <c r="C287" s="10" t="n">
        <v>8.56</v>
      </c>
      <c r="D287" s="7" t="n">
        <v>284</v>
      </c>
      <c r="E287" s="5" t="inlineStr">
        <is>
          <t>mf</t>
        </is>
      </c>
      <c r="F287" s="8" t="n">
        <v>1989</v>
      </c>
      <c r="G287" s="5" t="inlineStr">
        <is>
          <t>outside the service's preselection of 20: its rents are tracked but no unit group was quoted for it, so it is listed nearby</t>
        </is>
      </c>
    </row>
    <row r="288">
      <c r="A288" s="5" t="inlineStr">
        <is>
          <t>The Ventura</t>
        </is>
      </c>
      <c r="B288" s="5" t="inlineStr">
        <is>
          <t>3600 W Ray Rd, Chandler, AZ 85226-1372</t>
        </is>
      </c>
      <c r="C288" s="10" t="n">
        <v>8.57</v>
      </c>
      <c r="D288" s="7" t="n">
        <v>272</v>
      </c>
      <c r="E288" s="5" t="inlineStr">
        <is>
          <t>mf</t>
        </is>
      </c>
      <c r="F288" s="8" t="n">
        <v>1995</v>
      </c>
      <c r="G288" s="5" t="inlineStr">
        <is>
          <t>vintage 1995 is 14 years from the subject's 1981, outside the +/-10-year band</t>
        </is>
      </c>
    </row>
    <row r="289">
      <c r="A289" s="5" t="inlineStr">
        <is>
          <t>Norte Town Lake</t>
        </is>
      </c>
      <c r="B289" s="5" t="inlineStr">
        <is>
          <t>909 E Playa del Norte Dr, Tempe, AZ 85288-2848</t>
        </is>
      </c>
      <c r="C289" s="10" t="n">
        <v>8.6</v>
      </c>
      <c r="D289" s="7" t="n">
        <v>244</v>
      </c>
      <c r="E289" s="5" t="inlineStr">
        <is>
          <t>mf</t>
        </is>
      </c>
      <c r="F289" s="8" t="n">
        <v>2019</v>
      </c>
      <c r="G289" s="5" t="inlineStr">
        <is>
          <t>vintage 2019 is 38 years from the subject's 1981, outside the +/-10-year band</t>
        </is>
      </c>
    </row>
    <row r="290">
      <c r="A290" s="5" t="inlineStr">
        <is>
          <t>The Plaza Taos</t>
        </is>
      </c>
      <c r="B290" s="5" t="inlineStr">
        <is>
          <t>1900 S Arizona Ave, Chandler, AZ 85286</t>
        </is>
      </c>
      <c r="C290" s="10" t="n">
        <v>8.609999999999999</v>
      </c>
      <c r="D290" s="7" t="n">
        <v>164</v>
      </c>
      <c r="E290" s="5" t="inlineStr">
        <is>
          <t>mf</t>
        </is>
      </c>
      <c r="F290" s="8" t="n">
        <v>2023</v>
      </c>
      <c r="G290" s="5" t="inlineStr">
        <is>
          <t>vintage 2023 is 42 years from the subject's 1981, outside the +/-10-year band</t>
        </is>
      </c>
    </row>
    <row r="291">
      <c r="A291" s="5" t="inlineStr">
        <is>
          <t>Vero</t>
        </is>
      </c>
      <c r="B291" s="5" t="inlineStr">
        <is>
          <t>651 E 6th St, Tempe, AZ 85281</t>
        </is>
      </c>
      <c r="C291" s="10" t="n">
        <v>8.609999999999999</v>
      </c>
      <c r="D291" s="7" t="n">
        <v>199</v>
      </c>
      <c r="E291" s="5" t="inlineStr">
        <is>
          <t>mf</t>
        </is>
      </c>
      <c r="F291" s="8" t="n">
        <v>2024</v>
      </c>
      <c r="G291" s="5" t="inlineStr">
        <is>
          <t>vintage 2024 is 43 years from the subject's 1981, outside the +/-10-year band</t>
        </is>
      </c>
    </row>
    <row r="292">
      <c r="A292" s="5" t="inlineStr">
        <is>
          <t>San Marquis</t>
        </is>
      </c>
      <c r="B292" s="5" t="inlineStr">
        <is>
          <t>577 E Baseline Rd, Tempe, AZ 85283-1692</t>
        </is>
      </c>
      <c r="C292" s="10" t="n">
        <v>8.630000000000001</v>
      </c>
      <c r="D292" s="7" t="n">
        <v>224</v>
      </c>
      <c r="E292" s="5" t="inlineStr">
        <is>
          <t>mf</t>
        </is>
      </c>
      <c r="F292" s="8" t="n">
        <v>2012</v>
      </c>
      <c r="G292" s="5" t="inlineStr">
        <is>
          <t>vintage 2012 is 31 years from the subject's 1981, outside the +/-10-year band</t>
        </is>
      </c>
    </row>
    <row r="293">
      <c r="A293" s="5" t="inlineStr">
        <is>
          <t>Bella Victoria</t>
        </is>
      </c>
      <c r="B293" s="5" t="inlineStr">
        <is>
          <t>1350 S Ellsworth Rd, Mesa, AZ 85209-3704</t>
        </is>
      </c>
      <c r="C293" s="10" t="n">
        <v>8.65</v>
      </c>
      <c r="D293" s="7" t="n">
        <v>236</v>
      </c>
      <c r="E293" s="5" t="inlineStr">
        <is>
          <t>mf</t>
        </is>
      </c>
      <c r="F293" s="8" t="n">
        <v>2016</v>
      </c>
      <c r="G293" s="5" t="inlineStr">
        <is>
          <t>vintage 2016 is 35 years from the subject's 1981, outside the +/-10-year band</t>
        </is>
      </c>
    </row>
    <row r="294">
      <c r="A294" s="5" t="inlineStr">
        <is>
          <t>Symphony</t>
        </is>
      </c>
      <c r="B294" s="5" t="inlineStr">
        <is>
          <t>2225 W Frye Rd, Chandler, AZ 85224-6477</t>
        </is>
      </c>
      <c r="C294" s="10" t="n">
        <v>8.65</v>
      </c>
      <c r="D294" s="7" t="n">
        <v>234</v>
      </c>
      <c r="E294" s="5" t="inlineStr">
        <is>
          <t>mf</t>
        </is>
      </c>
      <c r="F294" s="8" t="n">
        <v>1999</v>
      </c>
      <c r="G294" s="5" t="inlineStr">
        <is>
          <t>vintage 1999 is 18 years from the subject's 1981, outside the +/-10-year band</t>
        </is>
      </c>
    </row>
    <row r="295">
      <c r="A295" s="5" t="inlineStr">
        <is>
          <t>Towne Square Apartment Homes</t>
        </is>
      </c>
      <c r="B295" s="5" t="inlineStr">
        <is>
          <t>500 N Metro Blvd, Chandler, AZ 85226</t>
        </is>
      </c>
      <c r="C295" s="10" t="n">
        <v>8.67</v>
      </c>
      <c r="D295" s="7" t="n">
        <v>584</v>
      </c>
      <c r="E295" s="5" t="inlineStr">
        <is>
          <t>mf</t>
        </is>
      </c>
      <c r="F295" s="8" t="n">
        <v>1987</v>
      </c>
      <c r="G295" s="5" t="inlineStr">
        <is>
          <t>outside the service's preselection of 20: its rents are tracked but no unit group was quoted for it, so it is listed nearby</t>
        </is>
      </c>
    </row>
    <row r="296">
      <c r="A296" s="5" t="inlineStr">
        <is>
          <t>Club Cancun</t>
        </is>
      </c>
      <c r="B296" s="5" t="inlineStr">
        <is>
          <t>375 N Federal St, Chandler, AZ 85226</t>
        </is>
      </c>
      <c r="C296" s="10" t="n">
        <v>8.68</v>
      </c>
      <c r="D296" s="7" t="n">
        <v>140</v>
      </c>
      <c r="E296" s="5" t="inlineStr">
        <is>
          <t>mf</t>
        </is>
      </c>
      <c r="F296" s="8" t="n">
        <v>1996</v>
      </c>
      <c r="G296" s="5" t="inlineStr">
        <is>
          <t>vintage 1996 is 15 years from the subject's 1981, outside the +/-10-year band</t>
        </is>
      </c>
    </row>
    <row r="297">
      <c r="A297" s="5" t="inlineStr">
        <is>
          <t>Painted Trails Apartments</t>
        </is>
      </c>
      <c r="B297" s="5" t="inlineStr">
        <is>
          <t>4255 E Pecos Rd, Gilbert, AZ 85295-7830</t>
        </is>
      </c>
      <c r="C297" s="10" t="n">
        <v>8.68</v>
      </c>
      <c r="D297" s="7" t="n">
        <v>196</v>
      </c>
      <c r="E297" s="5" t="inlineStr">
        <is>
          <t>mf</t>
        </is>
      </c>
      <c r="F297" s="8" t="n">
        <v>2008</v>
      </c>
      <c r="G297" s="5" t="inlineStr">
        <is>
          <t>vintage 2008 is 27 years from the subject's 1981, outside the +/-10-year band</t>
        </is>
      </c>
    </row>
    <row r="298">
      <c r="A298" s="5" t="inlineStr">
        <is>
          <t>Zaterra Luxury Apartments</t>
        </is>
      </c>
      <c r="B298" s="5" t="inlineStr">
        <is>
          <t>200 W Germann Rd, Chandler, AZ 85286</t>
        </is>
      </c>
      <c r="C298" s="10" t="n">
        <v>8.74</v>
      </c>
      <c r="D298" s="7" t="n">
        <v>392</v>
      </c>
      <c r="E298" s="5" t="inlineStr">
        <is>
          <t>mf</t>
        </is>
      </c>
      <c r="F298" s="8" t="n">
        <v>2022</v>
      </c>
      <c r="G298" s="5" t="inlineStr">
        <is>
          <t>vintage 2022 is 41 years from the subject's 1981, outside the +/-10-year band</t>
        </is>
      </c>
    </row>
    <row r="299">
      <c r="A299" s="5" t="inlineStr">
        <is>
          <t>Aura Watermark</t>
        </is>
      </c>
      <c r="B299" s="5" t="inlineStr">
        <is>
          <t>420 N Scottsdale Rd, Tempe, AZ 85281-2024</t>
        </is>
      </c>
      <c r="C299" s="10" t="n">
        <v>8.75</v>
      </c>
      <c r="D299" s="7" t="n">
        <v>360</v>
      </c>
      <c r="E299" s="5" t="inlineStr">
        <is>
          <t>mf</t>
        </is>
      </c>
      <c r="F299" s="8" t="n">
        <v>2019</v>
      </c>
      <c r="G299" s="5" t="inlineStr">
        <is>
          <t>vintage 2019 is 38 years from the subject's 1981, outside the +/-10-year band</t>
        </is>
      </c>
    </row>
    <row r="300">
      <c r="A300" s="5" t="inlineStr">
        <is>
          <t>VELA at Tempe Town Lake</t>
        </is>
      </c>
      <c r="B300" s="5" t="inlineStr">
        <is>
          <t>555 N College Ave, Tempe, AZ 85281-3714</t>
        </is>
      </c>
      <c r="C300" s="10" t="n">
        <v>8.81</v>
      </c>
      <c r="D300" s="7" t="n">
        <v>290</v>
      </c>
      <c r="E300" s="5" t="inlineStr">
        <is>
          <t>mf</t>
        </is>
      </c>
      <c r="F300" s="8" t="n">
        <v>2016</v>
      </c>
      <c r="G300" s="5" t="inlineStr">
        <is>
          <t>vintage 2016 is 35 years from the subject's 1981, outside the +/-10-year band</t>
        </is>
      </c>
    </row>
    <row r="301">
      <c r="A301" s="5" t="inlineStr">
        <is>
          <t>Mera Chandler</t>
        </is>
      </c>
      <c r="B301" s="5" t="inlineStr">
        <is>
          <t>2050 W Pecos Blvd, Chandler, AZ 85224</t>
        </is>
      </c>
      <c r="C301" s="10" t="n">
        <v>8.83</v>
      </c>
      <c r="D301" s="7" t="n">
        <v>184</v>
      </c>
      <c r="E301" s="5" t="inlineStr">
        <is>
          <t>mf</t>
        </is>
      </c>
      <c r="F301" s="8" t="n">
        <v>2023</v>
      </c>
      <c r="G301" s="5" t="inlineStr">
        <is>
          <t>excluded from comp sets by the tracker: age_restricted</t>
        </is>
      </c>
    </row>
    <row r="302">
      <c r="A302" s="5" t="inlineStr">
        <is>
          <t>Sofia Apartments</t>
        </is>
      </c>
      <c r="B302" s="5" t="inlineStr">
        <is>
          <t>208 E Baseline Rd, Tempe, AZ 85283-1241</t>
        </is>
      </c>
      <c r="C302" s="10" t="n">
        <v>8.83</v>
      </c>
      <c r="D302" s="7" t="n">
        <v>174</v>
      </c>
      <c r="E302" s="5" t="inlineStr">
        <is>
          <t>mf</t>
        </is>
      </c>
      <c r="F302" s="8" t="n">
        <v>1979</v>
      </c>
      <c r="G302" s="5" t="inlineStr">
        <is>
          <t>outside the service's preselection of 20: its rents are tracked but no unit group was quoted for it, so it is listed nearby</t>
        </is>
      </c>
    </row>
    <row r="303">
      <c r="A303" s="5" t="inlineStr">
        <is>
          <t>The Palms at Augusta Ranch</t>
        </is>
      </c>
      <c r="B303" s="5" t="inlineStr">
        <is>
          <t>9335 E Baseline Rd, Mesa, AZ 85209-1201</t>
        </is>
      </c>
      <c r="C303" s="10" t="n">
        <v>8.83</v>
      </c>
      <c r="D303" s="7" t="n">
        <v>238</v>
      </c>
      <c r="E303" s="5" t="inlineStr">
        <is>
          <t>mf</t>
        </is>
      </c>
      <c r="F303" s="8" t="n">
        <v>2002</v>
      </c>
      <c r="G303" s="5" t="inlineStr">
        <is>
          <t>vintage 2002 is 21 years from the subject's 1981, outside the +/-10-year band</t>
        </is>
      </c>
    </row>
    <row r="304">
      <c r="A304" s="5" t="inlineStr">
        <is>
          <t>Chazal Scottsdale</t>
        </is>
      </c>
      <c r="B304" s="5" t="inlineStr">
        <is>
          <t>1075 N Miller Rd, Scottsdale, AZ 85257</t>
        </is>
      </c>
      <c r="C304" s="10" t="n">
        <v>8.85</v>
      </c>
      <c r="D304" s="7" t="n">
        <v>190</v>
      </c>
      <c r="E304" s="5" t="inlineStr">
        <is>
          <t>mf</t>
        </is>
      </c>
      <c r="F304" s="8" t="n">
        <v>1987</v>
      </c>
      <c r="G304" s="5" t="inlineStr">
        <is>
          <t>outside the service's preselection of 20: its rents are tracked but no unit group was quoted for it, so it is listed nearby</t>
        </is>
      </c>
    </row>
    <row r="305">
      <c r="A305" s="5" t="inlineStr">
        <is>
          <t>Trevi</t>
        </is>
      </c>
      <c r="B305" s="5" t="inlineStr">
        <is>
          <t>635 S Ellis St, Chandler, AZ 85224-4953</t>
        </is>
      </c>
      <c r="C305" s="10" t="n">
        <v>8.85</v>
      </c>
      <c r="D305" s="7" t="n">
        <v>290</v>
      </c>
      <c r="E305" s="5" t="inlineStr">
        <is>
          <t>mf</t>
        </is>
      </c>
      <c r="F305" s="8" t="n">
        <v>2005</v>
      </c>
      <c r="G305" s="5" t="inlineStr">
        <is>
          <t>vintage 2005 is 24 years from the subject's 1981, outside the +/-10-year band</t>
        </is>
      </c>
    </row>
    <row r="306">
      <c r="A306" s="5" t="inlineStr">
        <is>
          <t>The Logan at Ellsworth</t>
        </is>
      </c>
      <c r="B306" s="5" t="inlineStr">
        <is>
          <t>250 N Ellsworth Rd, Mesa, AZ 85207</t>
        </is>
      </c>
      <c r="C306" s="10" t="n">
        <v>8.890000000000001</v>
      </c>
      <c r="D306" s="7" t="n">
        <v>144</v>
      </c>
      <c r="E306" s="5" t="inlineStr">
        <is>
          <t>mf</t>
        </is>
      </c>
      <c r="F306" s="8" t="n">
        <v>2022</v>
      </c>
      <c r="G306" s="5" t="inlineStr">
        <is>
          <t>vintage 2022 is 41 years from the subject's 1981, outside the +/-10-year band</t>
        </is>
      </c>
    </row>
    <row r="307">
      <c r="A307" s="5" t="inlineStr">
        <is>
          <t>Mercury on Mill</t>
        </is>
      </c>
      <c r="B307" s="5" t="inlineStr">
        <is>
          <t>5101 S Mill Ave, Tempe, AZ 85282</t>
        </is>
      </c>
      <c r="C307" s="10" t="n">
        <v>8.92</v>
      </c>
      <c r="D307" s="7" t="n">
        <v>167</v>
      </c>
      <c r="E307" s="5" t="inlineStr">
        <is>
          <t>mf</t>
        </is>
      </c>
      <c r="F307" s="8" t="n">
        <v>1972</v>
      </c>
      <c r="G307" s="5" t="inlineStr">
        <is>
          <t>outside the service's preselection of 20: its rents are tracked but no unit group was quoted for it, so it is listed nearby</t>
        </is>
      </c>
    </row>
    <row r="308">
      <c r="A308" s="5" t="inlineStr">
        <is>
          <t>2150 Apartments</t>
        </is>
      </c>
      <c r="B308" s="5" t="inlineStr">
        <is>
          <t>2150 S Arizona Ave, Chandler, AZ 85286-7725</t>
        </is>
      </c>
      <c r="C308" s="10" t="n">
        <v>8.960000000000001</v>
      </c>
      <c r="D308" s="7" t="n">
        <v>289</v>
      </c>
      <c r="E308" s="5" t="inlineStr">
        <is>
          <t>mf</t>
        </is>
      </c>
      <c r="F308" s="8" t="n">
        <v>2001</v>
      </c>
      <c r="G308" s="5" t="inlineStr">
        <is>
          <t>vintage 2001 is 20 years from the subject's 1981, outside the +/-10-year band</t>
        </is>
      </c>
    </row>
    <row r="309">
      <c r="A309" s="5" t="inlineStr">
        <is>
          <t>Monument Chandler</t>
        </is>
      </c>
      <c r="B309" s="5" t="inlineStr">
        <is>
          <t>2300 W Pecos Rd, Chandler, AZ 85224</t>
        </is>
      </c>
      <c r="C309" s="10" t="n">
        <v>8.970000000000001</v>
      </c>
      <c r="D309" s="7" t="n">
        <v>163</v>
      </c>
      <c r="E309" s="5" t="inlineStr">
        <is>
          <t>mf</t>
        </is>
      </c>
      <c r="F309" s="8" t="n">
        <v>2014</v>
      </c>
      <c r="G309" s="5" t="inlineStr">
        <is>
          <t>vintage 2014 is 33 years from the subject's 1981, outside the +/-10-year band</t>
        </is>
      </c>
    </row>
    <row r="310">
      <c r="A310" s="5" t="inlineStr">
        <is>
          <t>Camden Tempe II</t>
        </is>
      </c>
      <c r="B310" s="5" t="inlineStr">
        <is>
          <t>600 E Curry Rd, Tempe, AZ 85281</t>
        </is>
      </c>
      <c r="C310" s="10" t="n">
        <v>8.99</v>
      </c>
      <c r="D310" s="7" t="n">
        <v>397</v>
      </c>
      <c r="E310" s="5" t="inlineStr">
        <is>
          <t>mf</t>
        </is>
      </c>
      <c r="F310" s="8" t="n">
        <v>2022</v>
      </c>
      <c r="G310" s="5" t="inlineStr">
        <is>
          <t>vintage 2022 is 41 years from the subject's 1981, outside the +/-10-year band</t>
        </is>
      </c>
    </row>
    <row r="311">
      <c r="A311" s="5" t="inlineStr">
        <is>
          <t>Peralta Vista</t>
        </is>
      </c>
      <c r="B311" s="5" t="inlineStr">
        <is>
          <t>526 N Ellsworth Rd, Mesa, AZ 85207</t>
        </is>
      </c>
      <c r="C311" s="10" t="n">
        <v>9.01</v>
      </c>
      <c r="D311" s="7" t="n">
        <v>135</v>
      </c>
      <c r="E311" s="5" t="inlineStr">
        <is>
          <t>bfr</t>
        </is>
      </c>
      <c r="F311" s="12" t="n"/>
      <c r="G311" s="5" t="inlineStr">
        <is>
          <t>different product: tracked as bfr, subject is MF</t>
        </is>
      </c>
    </row>
    <row r="312">
      <c r="A312" s="5" t="inlineStr">
        <is>
          <t>Stone Oaks Apartments</t>
        </is>
      </c>
      <c r="B312" s="5" t="inlineStr">
        <is>
          <t>2450 W Pecos Rd, Chandler, AZ 85224</t>
        </is>
      </c>
      <c r="C312" s="10" t="n">
        <v>9.029999999999999</v>
      </c>
      <c r="D312" s="7" t="n">
        <v>392</v>
      </c>
      <c r="E312" s="5" t="inlineStr">
        <is>
          <t>mf</t>
        </is>
      </c>
      <c r="F312" s="8" t="n">
        <v>2003</v>
      </c>
      <c r="G312" s="5" t="inlineStr">
        <is>
          <t>vintage 2003 is 22 years from the subject's 1981, outside the +/-10-year band</t>
        </is>
      </c>
    </row>
    <row r="313">
      <c r="A313" s="5" t="inlineStr">
        <is>
          <t>Sono Tempe</t>
        </is>
      </c>
      <c r="B313" s="5" t="inlineStr">
        <is>
          <t>4130 S Mill Ave, Tempe, AZ 85282</t>
        </is>
      </c>
      <c r="C313" s="10" t="n">
        <v>9.039999999999999</v>
      </c>
      <c r="D313" s="7" t="n">
        <v>442</v>
      </c>
      <c r="E313" s="5" t="inlineStr">
        <is>
          <t>mf</t>
        </is>
      </c>
      <c r="F313" s="8" t="n">
        <v>1973</v>
      </c>
      <c r="G313" s="5" t="inlineStr">
        <is>
          <t>outside the service's preselection of 20: its rents are tracked but no unit group was quoted for it, so it is listed nearby</t>
        </is>
      </c>
    </row>
    <row r="314">
      <c r="A314" s="5" t="inlineStr">
        <is>
          <t>Polanco Apartments</t>
        </is>
      </c>
      <c r="B314" s="5" t="inlineStr">
        <is>
          <t>7220 E McKellips Rd, Scottsdale, AZ 85257-4243</t>
        </is>
      </c>
      <c r="C314" s="10" t="n">
        <v>9.050000000000001</v>
      </c>
      <c r="D314" s="7" t="n">
        <v>131</v>
      </c>
      <c r="E314" s="5" t="inlineStr">
        <is>
          <t>mf</t>
        </is>
      </c>
      <c r="F314" s="8" t="n">
        <v>1978</v>
      </c>
      <c r="G314" s="5" t="inlineStr">
        <is>
          <t>outside the service's preselection of 20: its rents are tracked but no unit group was quoted for it, so it is listed nearby</t>
        </is>
      </c>
    </row>
    <row r="315">
      <c r="A315" s="5" t="inlineStr">
        <is>
          <t>Camden Sotelo</t>
        </is>
      </c>
      <c r="B315" s="5" t="inlineStr">
        <is>
          <t>615 E Weber Dr, Tempe, AZ 85281</t>
        </is>
      </c>
      <c r="C315" s="10" t="n">
        <v>9.08</v>
      </c>
      <c r="D315" s="7" t="n">
        <v>170</v>
      </c>
      <c r="E315" s="5" t="inlineStr">
        <is>
          <t>mf</t>
        </is>
      </c>
      <c r="F315" s="8" t="n">
        <v>2012</v>
      </c>
      <c r="G315" s="5" t="inlineStr">
        <is>
          <t>vintage 2012 is 31 years from the subject's 1981, outside the +/-10-year band</t>
        </is>
      </c>
    </row>
    <row r="316">
      <c r="A316" s="5" t="inlineStr">
        <is>
          <t>Cantera</t>
        </is>
      </c>
      <c r="B316" s="5" t="inlineStr">
        <is>
          <t>2475 W Pecos Rd, Chandler, AZ 85224-4807</t>
        </is>
      </c>
      <c r="C316" s="10" t="n">
        <v>9.09</v>
      </c>
      <c r="D316" s="7" t="n">
        <v>288</v>
      </c>
      <c r="E316" s="5" t="inlineStr">
        <is>
          <t>mf</t>
        </is>
      </c>
      <c r="F316" s="8" t="n">
        <v>2002</v>
      </c>
      <c r="G316" s="5" t="inlineStr">
        <is>
          <t>vintage 2002 is 21 years from the subject's 1981, outside the +/-10-year band</t>
        </is>
      </c>
    </row>
    <row r="317">
      <c r="A317" s="5" t="inlineStr">
        <is>
          <t>SALT</t>
        </is>
      </c>
      <c r="B317" s="5" t="inlineStr">
        <is>
          <t>260 E Rio Salado Pky, Tempe, AZ 85281</t>
        </is>
      </c>
      <c r="C317" s="10" t="n">
        <v>9.130000000000001</v>
      </c>
      <c r="D317" s="7" t="n">
        <v>265</v>
      </c>
      <c r="E317" s="5" t="inlineStr">
        <is>
          <t>mf</t>
        </is>
      </c>
      <c r="F317" s="8" t="n">
        <v>2017</v>
      </c>
      <c r="G317" s="5" t="inlineStr">
        <is>
          <t>vintage 2017 is 36 years from the subject's 1981, outside the +/-10-year band</t>
        </is>
      </c>
    </row>
    <row r="318">
      <c r="A318" s="5" t="inlineStr">
        <is>
          <t>Ventana Estates</t>
        </is>
      </c>
      <c r="B318" s="5" t="inlineStr">
        <is>
          <t>9422 E Broadway Rd, Mesa, AZ 85208</t>
        </is>
      </c>
      <c r="C318" s="10" t="n">
        <v>9.130000000000001</v>
      </c>
      <c r="D318" s="7" t="n">
        <v>140</v>
      </c>
      <c r="E318" s="5" t="inlineStr">
        <is>
          <t>mf</t>
        </is>
      </c>
      <c r="F318" s="8" t="n">
        <v>2000</v>
      </c>
      <c r="G318" s="5" t="inlineStr">
        <is>
          <t>excluded from comp sets by the tracker: income_restricted</t>
        </is>
      </c>
    </row>
    <row r="319">
      <c r="A319" s="5" t="inlineStr">
        <is>
          <t>La Estancia Apartment Homes</t>
        </is>
      </c>
      <c r="B319" s="5" t="inlineStr">
        <is>
          <t>6445 S Maple Ave, Tempe, AZ 85283</t>
        </is>
      </c>
      <c r="C319" s="10" t="n">
        <v>9.15</v>
      </c>
      <c r="D319" s="7" t="n">
        <v>312</v>
      </c>
      <c r="E319" s="5" t="inlineStr">
        <is>
          <t>mf</t>
        </is>
      </c>
      <c r="F319" s="8" t="n">
        <v>1987</v>
      </c>
      <c r="G319" s="5" t="inlineStr">
        <is>
          <t>outside the service's preselection of 20: its rents are tracked but no unit group was quoted for it, so it is listed nearby</t>
        </is>
      </c>
    </row>
    <row r="320">
      <c r="A320" s="5" t="inlineStr">
        <is>
          <t>San Travesia</t>
        </is>
      </c>
      <c r="B320" s="5" t="inlineStr">
        <is>
          <t>7501 E McDowell Rd, Scottsdale, AZ 85257</t>
        </is>
      </c>
      <c r="C320" s="10" t="n">
        <v>9.210000000000001</v>
      </c>
      <c r="D320" s="7" t="n">
        <v>572</v>
      </c>
      <c r="E320" s="5" t="inlineStr">
        <is>
          <t>mf</t>
        </is>
      </c>
      <c r="F320" s="8" t="n">
        <v>2014</v>
      </c>
      <c r="G320" s="5" t="inlineStr">
        <is>
          <t>vintage 2014 is 33 years from the subject's 1981, outside the +/-10-year band</t>
        </is>
      </c>
    </row>
    <row r="321">
      <c r="A321" s="5" t="inlineStr">
        <is>
          <t>Scottsdale Gateway</t>
        </is>
      </c>
      <c r="B321" s="5" t="inlineStr">
        <is>
          <t>2100 N Scottsdale Rd, Tempe, AZ 85288-1365</t>
        </is>
      </c>
      <c r="C321" s="10" t="n">
        <v>9.26</v>
      </c>
      <c r="D321" s="7" t="n">
        <v>487</v>
      </c>
      <c r="E321" s="5" t="inlineStr">
        <is>
          <t>mf</t>
        </is>
      </c>
      <c r="F321" s="8" t="n">
        <v>1972</v>
      </c>
      <c r="G321" s="5" t="inlineStr">
        <is>
          <t>outside the service's preselection of 20: its rents are tracked but no unit group was quoted for it, so it is listed nearby</t>
        </is>
      </c>
    </row>
    <row r="322">
      <c r="A322" s="5" t="inlineStr">
        <is>
          <t>Superstition Canyon Luxury Apartments</t>
        </is>
      </c>
      <c r="B322" s="5" t="inlineStr">
        <is>
          <t>1247 S 96th St, Mesa, AZ 85209</t>
        </is>
      </c>
      <c r="C322" s="10" t="n">
        <v>9.27</v>
      </c>
      <c r="D322" s="7" t="n">
        <v>200</v>
      </c>
      <c r="E322" s="5" t="inlineStr">
        <is>
          <t>mf</t>
        </is>
      </c>
      <c r="F322" s="8" t="n">
        <v>2009</v>
      </c>
      <c r="G322" s="5" t="inlineStr">
        <is>
          <t>vintage 2009 is 28 years from the subject's 1981, outside the +/-10-year band</t>
        </is>
      </c>
    </row>
    <row r="323">
      <c r="A323" s="5" t="inlineStr">
        <is>
          <t>MAA SkySong</t>
        </is>
      </c>
      <c r="B323" s="5" t="inlineStr">
        <is>
          <t>1301 N Scottsdale Rd, Scottsdale, AZ 85257</t>
        </is>
      </c>
      <c r="C323" s="10" t="n">
        <v>9.289999999999999</v>
      </c>
      <c r="D323" s="7" t="n">
        <v>325</v>
      </c>
      <c r="E323" s="5" t="inlineStr">
        <is>
          <t>mf</t>
        </is>
      </c>
      <c r="F323" s="8" t="n">
        <v>2014</v>
      </c>
      <c r="G323" s="5" t="inlineStr">
        <is>
          <t>vintage 2014 is 33 years from the subject's 1981, outside the +/-10-year band</t>
        </is>
      </c>
    </row>
    <row r="324">
      <c r="A324" s="5" t="inlineStr">
        <is>
          <t>San Tropez Apartment Homes</t>
        </is>
      </c>
      <c r="B324" s="5" t="inlineStr">
        <is>
          <t>2700 N Hayden Rd, Scottsdale, AZ 85257</t>
        </is>
      </c>
      <c r="C324" s="10" t="n">
        <v>9.289999999999999</v>
      </c>
      <c r="D324" s="7" t="n">
        <v>316</v>
      </c>
      <c r="E324" s="5" t="inlineStr">
        <is>
          <t>mf</t>
        </is>
      </c>
      <c r="F324" s="8" t="n">
        <v>1988</v>
      </c>
      <c r="G324" s="5" t="inlineStr">
        <is>
          <t>outside the service's preselection of 20: its rents are tracked but no unit group was quoted for it, so it is listed nearby</t>
        </is>
      </c>
    </row>
    <row r="325">
      <c r="A325" s="5" t="inlineStr">
        <is>
          <t>The MET at Fashion Center</t>
        </is>
      </c>
      <c r="B325" s="5" t="inlineStr">
        <is>
          <t>1 N Hearthstone Way, Chandler, AZ 85226</t>
        </is>
      </c>
      <c r="C325" s="10" t="n">
        <v>9.31</v>
      </c>
      <c r="D325" s="7" t="n">
        <v>303</v>
      </c>
      <c r="E325" s="5" t="inlineStr">
        <is>
          <t>mf</t>
        </is>
      </c>
      <c r="F325" s="8" t="n">
        <v>2015</v>
      </c>
      <c r="G325" s="5" t="inlineStr">
        <is>
          <t>vintage 2015 is 34 years from the subject's 1981, outside the +/-10-year band</t>
        </is>
      </c>
    </row>
    <row r="326">
      <c r="A326" s="5" t="inlineStr">
        <is>
          <t>Woodcrest Village at Power Ranch</t>
        </is>
      </c>
      <c r="B326" s="5" t="inlineStr">
        <is>
          <t>4055 S Ranch House Pky, Gilbert, AZ 85297-6201</t>
        </is>
      </c>
      <c r="C326" s="10" t="n">
        <v>9.32</v>
      </c>
      <c r="D326" s="7" t="n">
        <v>120</v>
      </c>
      <c r="E326" s="5" t="inlineStr">
        <is>
          <t>mf</t>
        </is>
      </c>
      <c r="F326" s="8" t="n">
        <v>2025</v>
      </c>
      <c r="G326" s="5" t="inlineStr">
        <is>
          <t>vintage 2025 is 44 years from the subject's 1981, outside the +/-10-year band</t>
        </is>
      </c>
    </row>
    <row r="327">
      <c r="A327" s="5" t="inlineStr">
        <is>
          <t>Emerson Mill Avenue</t>
        </is>
      </c>
      <c r="B327" s="5" t="inlineStr">
        <is>
          <t>101 W 5th St, Tempe, AZ 85281</t>
        </is>
      </c>
      <c r="C327" s="10" t="n">
        <v>9.33</v>
      </c>
      <c r="D327" s="7" t="n">
        <v>341</v>
      </c>
      <c r="E327" s="5" t="inlineStr">
        <is>
          <t>mf</t>
        </is>
      </c>
      <c r="F327" s="8" t="n">
        <v>2015</v>
      </c>
      <c r="G327" s="5" t="inlineStr">
        <is>
          <t>vintage 2015 is 34 years from the subject's 1981, outside the +/-10-year band</t>
        </is>
      </c>
    </row>
    <row r="328">
      <c r="A328" s="5" t="inlineStr">
        <is>
          <t>Riata</t>
        </is>
      </c>
      <c r="B328" s="5" t="inlineStr">
        <is>
          <t>100 N Hearthstone Way, Chandler, AZ 85226</t>
        </is>
      </c>
      <c r="C328" s="10" t="n">
        <v>9.35</v>
      </c>
      <c r="D328" s="7" t="n">
        <v>300</v>
      </c>
      <c r="E328" s="5" t="inlineStr">
        <is>
          <t>mf</t>
        </is>
      </c>
      <c r="F328" s="8" t="n">
        <v>2019</v>
      </c>
      <c r="G328" s="5" t="inlineStr">
        <is>
          <t>vintage 2019 is 38 years from the subject's 1981, outside the +/-10-year band</t>
        </is>
      </c>
    </row>
    <row r="329">
      <c r="A329" s="5" t="inlineStr">
        <is>
          <t>The Local</t>
        </is>
      </c>
      <c r="B329" s="5" t="inlineStr">
        <is>
          <t>750 S Ash Ave, Tempe, AZ 85281</t>
        </is>
      </c>
      <c r="C329" s="10" t="n">
        <v>9.359999999999999</v>
      </c>
      <c r="D329" s="7" t="n">
        <v>286</v>
      </c>
      <c r="E329" s="5" t="inlineStr">
        <is>
          <t>mf</t>
        </is>
      </c>
      <c r="F329" s="8" t="n">
        <v>2019</v>
      </c>
      <c r="G329" s="5" t="inlineStr">
        <is>
          <t>vintage 2019 is 38 years from the subject's 1981, outside the +/-10-year band</t>
        </is>
      </c>
    </row>
    <row r="330">
      <c r="A330" s="5" t="inlineStr">
        <is>
          <t>Morrison Chandler</t>
        </is>
      </c>
      <c r="B330" s="5" t="inlineStr">
        <is>
          <t>3950 W Chandler Blvd, Chandler, AZ 85226-2521</t>
        </is>
      </c>
      <c r="C330" s="10" t="n">
        <v>9.380000000000001</v>
      </c>
      <c r="D330" s="7" t="n">
        <v>283</v>
      </c>
      <c r="E330" s="5" t="inlineStr">
        <is>
          <t>mf</t>
        </is>
      </c>
      <c r="F330" s="8" t="n">
        <v>2018</v>
      </c>
      <c r="G330" s="5" t="inlineStr">
        <is>
          <t>vintage 2018 is 37 years from the subject's 1981, outside the +/-10-year band</t>
        </is>
      </c>
    </row>
    <row r="331">
      <c r="A331" s="5" t="inlineStr">
        <is>
          <t>Hayden Park Apartments</t>
        </is>
      </c>
      <c r="B331" s="5" t="inlineStr">
        <is>
          <t>3015 N Hayden Rd, Scottsdale, AZ 85251</t>
        </is>
      </c>
      <c r="C331" s="10" t="n">
        <v>9.390000000000001</v>
      </c>
      <c r="D331" s="7" t="n">
        <v>182</v>
      </c>
      <c r="E331" s="5" t="inlineStr">
        <is>
          <t>mf</t>
        </is>
      </c>
      <c r="F331" s="8" t="n">
        <v>1985</v>
      </c>
      <c r="G331" s="5" t="inlineStr">
        <is>
          <t>outside the service's preselection of 20: its rents are tracked but no unit group was quoted for it, so it is listed nearby</t>
        </is>
      </c>
    </row>
    <row r="332">
      <c r="A332" s="5" t="inlineStr">
        <is>
          <t>Avant at Fashion Center</t>
        </is>
      </c>
      <c r="B332" s="5" t="inlineStr">
        <is>
          <t>555 S Galleria Way, Chandler, AZ 85226</t>
        </is>
      </c>
      <c r="C332" s="10" t="n">
        <v>9.42</v>
      </c>
      <c r="D332" s="7" t="n">
        <v>335</v>
      </c>
      <c r="E332" s="5" t="inlineStr">
        <is>
          <t>mf</t>
        </is>
      </c>
      <c r="F332" s="8" t="n">
        <v>2017</v>
      </c>
      <c r="G332" s="5" t="inlineStr">
        <is>
          <t>vintage 2017 is 36 years from the subject's 1981, outside the +/-10-year band</t>
        </is>
      </c>
    </row>
    <row r="333">
      <c r="A333" s="5" t="inlineStr">
        <is>
          <t>Cabana Southern</t>
        </is>
      </c>
      <c r="B333" s="5" t="inlineStr">
        <is>
          <t>9733 E Southern Ave, Mesa, AZ 85209-3769</t>
        </is>
      </c>
      <c r="C333" s="10" t="n">
        <v>9.42</v>
      </c>
      <c r="D333" s="7" t="n">
        <v>250</v>
      </c>
      <c r="E333" s="5" t="inlineStr">
        <is>
          <t>mf</t>
        </is>
      </c>
      <c r="F333" s="8" t="n">
        <v>2023</v>
      </c>
      <c r="G333" s="5" t="inlineStr">
        <is>
          <t>vintage 2023 is 42 years from the subject's 1981, outside the +/-10-year band</t>
        </is>
      </c>
    </row>
    <row r="334">
      <c r="A334" s="5" t="inlineStr">
        <is>
          <t>Hudson on Farmer</t>
        </is>
      </c>
      <c r="B334" s="5" t="inlineStr">
        <is>
          <t>707 S Farmer Ave, Tempe, AZ 85281</t>
        </is>
      </c>
      <c r="C334" s="10" t="n">
        <v>9.42</v>
      </c>
      <c r="D334" s="7" t="n">
        <v>171</v>
      </c>
      <c r="E334" s="5" t="inlineStr">
        <is>
          <t>mf</t>
        </is>
      </c>
      <c r="F334" s="8" t="n">
        <v>2021</v>
      </c>
      <c r="G334" s="5" t="inlineStr">
        <is>
          <t>vintage 2021 is 40 years from the subject's 1981, outside the +/-10-year band</t>
        </is>
      </c>
    </row>
    <row r="335">
      <c r="A335" s="5" t="inlineStr">
        <is>
          <t>Camden Chandler</t>
        </is>
      </c>
      <c r="B335" s="5" t="inlineStr">
        <is>
          <t>2777 S Arizona Ave, Chandler, AZ 85286</t>
        </is>
      </c>
      <c r="C335" s="10" t="n">
        <v>9.43</v>
      </c>
      <c r="D335" s="7" t="n">
        <v>380</v>
      </c>
      <c r="E335" s="5" t="inlineStr">
        <is>
          <t>mf</t>
        </is>
      </c>
      <c r="F335" s="8" t="n">
        <v>2015</v>
      </c>
      <c r="G335" s="5" t="inlineStr">
        <is>
          <t>vintage 2015 is 34 years from the subject's 1981, outside the +/-10-year band</t>
        </is>
      </c>
    </row>
    <row r="336">
      <c r="A336" s="5" t="inlineStr">
        <is>
          <t>Hampton East</t>
        </is>
      </c>
      <c r="B336" s="5" t="inlineStr">
        <is>
          <t>9740 E Hampton Ave, Mesa, AZ 85209</t>
        </is>
      </c>
      <c r="C336" s="10" t="n">
        <v>9.43</v>
      </c>
      <c r="D336" s="7" t="n">
        <v>143</v>
      </c>
      <c r="E336" s="5" t="inlineStr">
        <is>
          <t>mf</t>
        </is>
      </c>
      <c r="F336" s="8" t="n">
        <v>2018</v>
      </c>
      <c r="G336" s="5" t="inlineStr">
        <is>
          <t>vintage 2018 is 37 years from the subject's 1981, outside the +/-10-year band</t>
        </is>
      </c>
    </row>
    <row r="337">
      <c r="A337" s="5" t="inlineStr">
        <is>
          <t>Montage at Pecos Ranch</t>
        </is>
      </c>
      <c r="B337" s="5" t="inlineStr">
        <is>
          <t>1616 W Germann Rd, Chandler, AZ 85286</t>
        </is>
      </c>
      <c r="C337" s="10" t="n">
        <v>9.449999999999999</v>
      </c>
      <c r="D337" s="7" t="n">
        <v>258</v>
      </c>
      <c r="E337" s="5" t="inlineStr">
        <is>
          <t>mf</t>
        </is>
      </c>
      <c r="F337" s="8" t="n">
        <v>2000</v>
      </c>
      <c r="G337" s="5" t="inlineStr">
        <is>
          <t>vintage 2000 is 19 years from the subject's 1981, outside the +/-10-year band</t>
        </is>
      </c>
    </row>
    <row r="338">
      <c r="A338" s="5" t="inlineStr">
        <is>
          <t>Dwell @ 5th and Farmer</t>
        </is>
      </c>
      <c r="B338" s="5" t="inlineStr">
        <is>
          <t>426 W 5th St, Tempe, AZ 85281</t>
        </is>
      </c>
      <c r="C338" s="10" t="n">
        <v>9.529999999999999</v>
      </c>
      <c r="D338" s="7" t="n">
        <v>129</v>
      </c>
      <c r="E338" s="5" t="inlineStr">
        <is>
          <t>mf</t>
        </is>
      </c>
      <c r="F338" s="8" t="n">
        <v>2024</v>
      </c>
      <c r="G338" s="5" t="inlineStr">
        <is>
          <t>vintage 2024 is 43 years from the subject's 1981, outside the +/-10-year band</t>
        </is>
      </c>
    </row>
    <row r="339">
      <c r="A339" s="5" t="inlineStr">
        <is>
          <t>HUE97</t>
        </is>
      </c>
      <c r="B339" s="5" t="inlineStr">
        <is>
          <t>9736 E Balsam Ave, Mesa, AZ 85208</t>
        </is>
      </c>
      <c r="C339" s="10" t="n">
        <v>9.550000000000001</v>
      </c>
      <c r="D339" s="7" t="n">
        <v>184</v>
      </c>
      <c r="E339" s="5" t="inlineStr">
        <is>
          <t>mf</t>
        </is>
      </c>
      <c r="F339" s="8" t="n">
        <v>2001</v>
      </c>
      <c r="G339" s="5" t="inlineStr">
        <is>
          <t>excluded from comp sets by the tracker: income_restricted</t>
        </is>
      </c>
    </row>
    <row r="340">
      <c r="A340" s="5" t="inlineStr">
        <is>
          <t>NOVO Broadway</t>
        </is>
      </c>
      <c r="B340" s="5" t="inlineStr">
        <is>
          <t>711 W Broadway Rd, Tempe, AZ 85282</t>
        </is>
      </c>
      <c r="C340" s="10" t="n">
        <v>9.550000000000001</v>
      </c>
      <c r="D340" s="7" t="n">
        <v>324</v>
      </c>
      <c r="E340" s="5" t="inlineStr">
        <is>
          <t>mf</t>
        </is>
      </c>
      <c r="F340" s="8" t="n">
        <v>2022</v>
      </c>
      <c r="G340" s="5" t="inlineStr">
        <is>
          <t>vintage 2022 is 41 years from the subject's 1981, outside the +/-10-year band</t>
        </is>
      </c>
    </row>
    <row r="341">
      <c r="A341" s="5" t="inlineStr">
        <is>
          <t>The Falls at Crismon Commons</t>
        </is>
      </c>
      <c r="B341" s="5" t="inlineStr">
        <is>
          <t>1760 S Crimson Rd, Mesa, AZ 85209</t>
        </is>
      </c>
      <c r="C341" s="10" t="n">
        <v>9.56</v>
      </c>
      <c r="D341" s="7" t="n">
        <v>240</v>
      </c>
      <c r="E341" s="5" t="inlineStr">
        <is>
          <t>mf</t>
        </is>
      </c>
      <c r="F341" s="8" t="n">
        <v>2024</v>
      </c>
      <c r="G341" s="5" t="inlineStr">
        <is>
          <t>vintage 2024 is 43 years from the subject's 1981, outside the +/-10-year band</t>
        </is>
      </c>
    </row>
    <row r="342">
      <c r="A342" s="5" t="inlineStr">
        <is>
          <t>MAA Sky View</t>
        </is>
      </c>
      <c r="B342" s="5" t="inlineStr">
        <is>
          <t>4632 E Germann Rd, Gilbert, AZ 85297</t>
        </is>
      </c>
      <c r="C342" s="10" t="n">
        <v>9.58</v>
      </c>
      <c r="D342" s="7" t="n">
        <v>232</v>
      </c>
      <c r="E342" s="5" t="inlineStr">
        <is>
          <t>mf</t>
        </is>
      </c>
      <c r="F342" s="8" t="n">
        <v>2007</v>
      </c>
      <c r="G342" s="5" t="inlineStr">
        <is>
          <t>vintage 2007 is 26 years from the subject's 1981, outside the +/-10-year band</t>
        </is>
      </c>
    </row>
    <row r="343">
      <c r="A343" s="5" t="inlineStr">
        <is>
          <t>Springs at Eastmark</t>
        </is>
      </c>
      <c r="B343" s="5" t="inlineStr">
        <is>
          <t>9321 E Warner Rd, Mesa, AZ 85212</t>
        </is>
      </c>
      <c r="C343" s="10" t="n">
        <v>9.59</v>
      </c>
      <c r="D343" s="7" t="n">
        <v>276</v>
      </c>
      <c r="E343" s="5" t="inlineStr">
        <is>
          <t>mf</t>
        </is>
      </c>
      <c r="F343" s="8" t="n">
        <v>2022</v>
      </c>
      <c r="G343" s="5" t="inlineStr">
        <is>
          <t>vintage 2022 is 41 years from the subject's 1981, outside the +/-10-year band</t>
        </is>
      </c>
    </row>
    <row r="344">
      <c r="A344" s="5" t="inlineStr">
        <is>
          <t>Bella Encanta</t>
        </is>
      </c>
      <c r="B344" s="5" t="inlineStr">
        <is>
          <t>9745 E Hampton Ave, Mesa, AZ 85209</t>
        </is>
      </c>
      <c r="C344" s="10" t="n">
        <v>9.6</v>
      </c>
      <c r="D344" s="7" t="n">
        <v>212</v>
      </c>
      <c r="E344" s="5" t="inlineStr">
        <is>
          <t>bfr</t>
        </is>
      </c>
      <c r="F344" s="12" t="n"/>
      <c r="G344" s="5" t="inlineStr">
        <is>
          <t>different product: tracked as bfr, subject is MF</t>
        </is>
      </c>
    </row>
    <row r="345">
      <c r="A345" s="5" t="inlineStr">
        <is>
          <t>Townhomes at Kyrene</t>
        </is>
      </c>
      <c r="B345" s="5" t="inlineStr">
        <is>
          <t>647 W Baseline Rd, Tempe, AZ 85283-5058</t>
        </is>
      </c>
      <c r="C345" s="10" t="n">
        <v>9.6</v>
      </c>
      <c r="D345" s="7" t="n">
        <v>240</v>
      </c>
      <c r="E345" s="5" t="inlineStr">
        <is>
          <t>bfr</t>
        </is>
      </c>
      <c r="F345" s="8" t="n">
        <v>2009</v>
      </c>
      <c r="G345" s="5" t="inlineStr">
        <is>
          <t>different product: tracked as bfr, subject is MF</t>
        </is>
      </c>
    </row>
    <row r="346">
      <c r="A346" s="5" t="inlineStr">
        <is>
          <t>Cabana Kyrene</t>
        </is>
      </c>
      <c r="B346" s="5" t="inlineStr">
        <is>
          <t>515 W Guadalupe Rd, Tempe, AZ 85283</t>
        </is>
      </c>
      <c r="C346" s="10" t="n">
        <v>9.619999999999999</v>
      </c>
      <c r="D346" s="7" t="n">
        <v>229</v>
      </c>
      <c r="E346" s="5" t="inlineStr">
        <is>
          <t>mf</t>
        </is>
      </c>
      <c r="F346" s="8" t="n">
        <v>2026</v>
      </c>
      <c r="G346" s="5" t="inlineStr">
        <is>
          <t>vintage 2026 is 45 years from the subject's 1981, outside the +/-10-year band</t>
        </is>
      </c>
    </row>
    <row r="347">
      <c r="A347" s="5" t="inlineStr">
        <is>
          <t>Seventyone 15 McDowell</t>
        </is>
      </c>
      <c r="B347" s="5" t="inlineStr">
        <is>
          <t>7115 E McDowell Rd, Scottsdale, AZ 85257-3315</t>
        </is>
      </c>
      <c r="C347" s="10" t="n">
        <v>9.619999999999999</v>
      </c>
      <c r="D347" s="7" t="n">
        <v>274</v>
      </c>
      <c r="E347" s="5" t="inlineStr">
        <is>
          <t>mf</t>
        </is>
      </c>
      <c r="F347" s="8" t="n">
        <v>2022</v>
      </c>
      <c r="G347" s="5" t="inlineStr">
        <is>
          <t>vintage 2022 is 41 years from the subject's 1981, outside the +/-10-year band</t>
        </is>
      </c>
    </row>
    <row r="348">
      <c r="A348" s="5" t="inlineStr">
        <is>
          <t>Lakeside Drive Apartments</t>
        </is>
      </c>
      <c r="B348" s="5" t="inlineStr">
        <is>
          <t>500 W 1st St, Tempe, AZ 85281-0313</t>
        </is>
      </c>
      <c r="C348" s="10" t="n">
        <v>9.640000000000001</v>
      </c>
      <c r="D348" s="7" t="n">
        <v>150</v>
      </c>
      <c r="E348" s="5" t="inlineStr">
        <is>
          <t>mf</t>
        </is>
      </c>
      <c r="F348" s="8" t="n">
        <v>2018</v>
      </c>
      <c r="G348" s="5" t="inlineStr">
        <is>
          <t>vintage 2018 is 37 years from the subject's 1981, outside the +/-10-year band</t>
        </is>
      </c>
    </row>
    <row r="349">
      <c r="A349" s="5" t="inlineStr">
        <is>
          <t>Luxe Scottsdale</t>
        </is>
      </c>
      <c r="B349" s="5" t="inlineStr">
        <is>
          <t>8444 E Indian School Rd, Scottsdale, AZ 85251</t>
        </is>
      </c>
      <c r="C349" s="10" t="n">
        <v>9.640000000000001</v>
      </c>
      <c r="D349" s="7" t="n">
        <v>218</v>
      </c>
      <c r="E349" s="5" t="inlineStr">
        <is>
          <t>mf</t>
        </is>
      </c>
      <c r="F349" s="8" t="n">
        <v>2015</v>
      </c>
      <c r="G349" s="5" t="inlineStr">
        <is>
          <t>vintage 2015 is 34 years from the subject's 1981, outside the +/-10-year band</t>
        </is>
      </c>
    </row>
    <row r="350">
      <c r="A350" s="5" t="inlineStr">
        <is>
          <t>Ovation at Tempe</t>
        </is>
      </c>
      <c r="B350" s="5" t="inlineStr">
        <is>
          <t>4505 S Hardy Dr, Tempe, AZ 85282-6565</t>
        </is>
      </c>
      <c r="C350" s="10" t="n">
        <v>9.67</v>
      </c>
      <c r="D350" s="7" t="n">
        <v>270</v>
      </c>
      <c r="E350" s="5" t="inlineStr">
        <is>
          <t>mf</t>
        </is>
      </c>
      <c r="F350" s="8" t="n">
        <v>1984</v>
      </c>
      <c r="G350" s="5" t="inlineStr">
        <is>
          <t>outside the service's preselection of 20: its rents are tracked but no unit group was quoted for it, so it is listed nearby</t>
        </is>
      </c>
    </row>
    <row r="351">
      <c r="A351" s="5" t="inlineStr">
        <is>
          <t>Vive</t>
        </is>
      </c>
      <c r="B351" s="5" t="inlineStr">
        <is>
          <t>1901 W Germann Rd, Chandler, AZ 85286</t>
        </is>
      </c>
      <c r="C351" s="10" t="n">
        <v>9.68</v>
      </c>
      <c r="D351" s="7" t="n">
        <v>194</v>
      </c>
      <c r="E351" s="5" t="inlineStr">
        <is>
          <t>mf</t>
        </is>
      </c>
      <c r="F351" s="8" t="n">
        <v>2014</v>
      </c>
      <c r="G351" s="5" t="inlineStr">
        <is>
          <t>vintage 2014 is 33 years from the subject's 1981, outside the +/-10-year band</t>
        </is>
      </c>
    </row>
    <row r="352">
      <c r="A352" s="5" t="inlineStr">
        <is>
          <t>San Palmilla</t>
        </is>
      </c>
      <c r="B352" s="5" t="inlineStr">
        <is>
          <t>750 W Baseline Rd, Tempe, AZ 85283</t>
        </is>
      </c>
      <c r="C352" s="10" t="n">
        <v>9.69</v>
      </c>
      <c r="D352" s="7" t="n">
        <v>372</v>
      </c>
      <c r="E352" s="5" t="inlineStr">
        <is>
          <t>mf</t>
        </is>
      </c>
      <c r="F352" s="8" t="n">
        <v>1997</v>
      </c>
      <c r="G352" s="5" t="inlineStr">
        <is>
          <t>vintage 1997 is 16 years from the subject's 1981, outside the +/-10-year band</t>
        </is>
      </c>
    </row>
    <row r="353">
      <c r="A353" s="5" t="inlineStr">
        <is>
          <t>Acero Eastmark Apartments</t>
        </is>
      </c>
      <c r="B353" s="5" t="inlineStr">
        <is>
          <t>9240 E Point Twenty-Two Blvd, Mesa, AZ 85212</t>
        </is>
      </c>
      <c r="C353" s="10" t="n">
        <v>9.779999999999999</v>
      </c>
      <c r="D353" s="7" t="n">
        <v>260</v>
      </c>
      <c r="E353" s="5" t="inlineStr">
        <is>
          <t>mf</t>
        </is>
      </c>
      <c r="F353" s="8" t="n">
        <v>2022</v>
      </c>
      <c r="G353" s="5" t="inlineStr">
        <is>
          <t>vintage 2022 is 41 years from the subject's 1981, outside the +/-10-year band</t>
        </is>
      </c>
    </row>
    <row r="354">
      <c r="A354" s="5" t="inlineStr">
        <is>
          <t>San Marino</t>
        </is>
      </c>
      <c r="B354" s="5" t="inlineStr">
        <is>
          <t>600 W Grove Pky, Tempe, AZ 85283</t>
        </is>
      </c>
      <c r="C354" s="10" t="n">
        <v>9.779999999999999</v>
      </c>
      <c r="D354" s="7" t="n">
        <v>329</v>
      </c>
      <c r="E354" s="5" t="inlineStr">
        <is>
          <t>mf</t>
        </is>
      </c>
      <c r="F354" s="8" t="n">
        <v>1996</v>
      </c>
      <c r="G354" s="5" t="inlineStr">
        <is>
          <t>vintage 1996 is 15 years from the subject's 1981, outside the +/-10-year band</t>
        </is>
      </c>
    </row>
    <row r="355">
      <c r="A355" s="5" t="inlineStr">
        <is>
          <t>Modera Chandler</t>
        </is>
      </c>
      <c r="B355" s="5" t="inlineStr">
        <is>
          <t>31000 S Arizona Ave, Chandler, AZ 85248</t>
        </is>
      </c>
      <c r="C355" s="10" t="n">
        <v>9.789999999999999</v>
      </c>
      <c r="D355" s="7" t="n">
        <v>345</v>
      </c>
      <c r="E355" s="5" t="inlineStr">
        <is>
          <t>mf</t>
        </is>
      </c>
      <c r="F355" s="8" t="n">
        <v>2026</v>
      </c>
      <c r="G355" s="5" t="inlineStr">
        <is>
          <t>vintage 2026 is 45 years from the subject's 1981, outside the +/-10-year band</t>
        </is>
      </c>
    </row>
    <row r="356">
      <c r="A356" s="5" t="inlineStr">
        <is>
          <t>Strada Apartments</t>
        </is>
      </c>
      <c r="B356" s="5" t="inlineStr">
        <is>
          <t>701 W Grove Pky, Tempe, AZ 85283-4501</t>
        </is>
      </c>
      <c r="C356" s="10" t="n">
        <v>9.789999999999999</v>
      </c>
      <c r="D356" s="7" t="n">
        <v>495</v>
      </c>
      <c r="E356" s="5" t="inlineStr">
        <is>
          <t>mf</t>
        </is>
      </c>
      <c r="F356" s="8" t="n">
        <v>1987</v>
      </c>
      <c r="G356" s="5" t="inlineStr">
        <is>
          <t>outside the service's preselection of 20: its rents are tracked but no unit group was quoted for it, so it is listed nearby</t>
        </is>
      </c>
    </row>
    <row r="357">
      <c r="A357" s="5" t="inlineStr">
        <is>
          <t>The Crest at Skyline</t>
        </is>
      </c>
      <c r="B357" s="5" t="inlineStr">
        <is>
          <t>1031 S Crismon Rd, Mesa, AZ 85208-2691</t>
        </is>
      </c>
      <c r="C357" s="10" t="n">
        <v>9.789999999999999</v>
      </c>
      <c r="D357" s="7" t="n">
        <v>104</v>
      </c>
      <c r="E357" s="5" t="inlineStr">
        <is>
          <t>mf</t>
        </is>
      </c>
      <c r="F357" s="8" t="n">
        <v>2026</v>
      </c>
      <c r="G357" s="5" t="inlineStr">
        <is>
          <t>vintage 2026 is 45 years from the subject's 1981, outside the +/-10-year band</t>
        </is>
      </c>
    </row>
    <row r="358">
      <c r="A358" s="5" t="inlineStr">
        <is>
          <t>Formation</t>
        </is>
      </c>
      <c r="B358" s="5" t="inlineStr">
        <is>
          <t>2040-2060 N Scottsdale Rd, Scottsdale, AZ 85257</t>
        </is>
      </c>
      <c r="C358" s="10" t="n">
        <v>9.800000000000001</v>
      </c>
      <c r="D358" s="7" t="n">
        <v>170</v>
      </c>
      <c r="E358" s="5" t="inlineStr">
        <is>
          <t>mf</t>
        </is>
      </c>
      <c r="F358" s="8" t="n">
        <v>2022</v>
      </c>
      <c r="G358" s="5" t="inlineStr">
        <is>
          <t>vintage 2022 is 41 years from the subject's 1981, outside the +/-10-year band</t>
        </is>
      </c>
    </row>
    <row r="359">
      <c r="A359" s="5" t="inlineStr">
        <is>
          <t>Skywater at Tempe Town Lake</t>
        </is>
      </c>
      <c r="B359" s="5" t="inlineStr">
        <is>
          <t>601 W Rio Salado Pky, Tempe, AZ 85281</t>
        </is>
      </c>
      <c r="C359" s="10" t="n">
        <v>9.800000000000001</v>
      </c>
      <c r="D359" s="7" t="n">
        <v>328</v>
      </c>
      <c r="E359" s="5" t="inlineStr">
        <is>
          <t>mf</t>
        </is>
      </c>
      <c r="F359" s="8" t="n">
        <v>2014</v>
      </c>
      <c r="G359" s="5" t="inlineStr">
        <is>
          <t>vintage 2014 is 33 years from the subject's 1981, outside the +/-10-year band</t>
        </is>
      </c>
    </row>
    <row r="360">
      <c r="A360" s="5" t="inlineStr">
        <is>
          <t>Westmount at Downtown Tempe</t>
        </is>
      </c>
      <c r="B360" s="5" t="inlineStr">
        <is>
          <t>615 S Hardy Dr, Tempe, AZ 85281</t>
        </is>
      </c>
      <c r="C360" s="10" t="n">
        <v>9.83</v>
      </c>
      <c r="D360" s="7" t="n">
        <v>227</v>
      </c>
      <c r="E360" s="5" t="inlineStr">
        <is>
          <t>mf</t>
        </is>
      </c>
      <c r="F360" s="8" t="n">
        <v>1971</v>
      </c>
      <c r="G360" s="5" t="inlineStr">
        <is>
          <t>outside the service's preselection of 20: its rents are tracked but no unit group was quoted for it, so it is listed nearby</t>
        </is>
      </c>
    </row>
    <row r="361">
      <c r="A361" s="5" t="inlineStr">
        <is>
          <t>The Aster at Mountain Vista</t>
        </is>
      </c>
      <c r="B361" s="5" t="inlineStr">
        <is>
          <t>1103 S Crismon Rd, Mesa, AZ 85208-2680</t>
        </is>
      </c>
      <c r="C361" s="10" t="n">
        <v>9.84</v>
      </c>
      <c r="D361" s="7" t="n">
        <v>156</v>
      </c>
      <c r="E361" s="5" t="inlineStr">
        <is>
          <t>mf</t>
        </is>
      </c>
      <c r="F361" s="8" t="n">
        <v>2023</v>
      </c>
      <c r="G361" s="5" t="inlineStr">
        <is>
          <t>vintage 2023 is 42 years from the subject's 1981, outside the +/-10-year band</t>
        </is>
      </c>
    </row>
    <row r="362">
      <c r="A362" s="5" t="inlineStr">
        <is>
          <t>Trovita Rio</t>
        </is>
      </c>
      <c r="B362" s="5" t="inlineStr">
        <is>
          <t>701 W Rio Salado Pky, Tempe, AZ 85281-3739</t>
        </is>
      </c>
      <c r="C362" s="10" t="n">
        <v>9.859999999999999</v>
      </c>
      <c r="D362" s="7" t="n">
        <v>209</v>
      </c>
      <c r="E362" s="5" t="inlineStr">
        <is>
          <t>mf</t>
        </is>
      </c>
      <c r="F362" s="8" t="n">
        <v>2019</v>
      </c>
      <c r="G362" s="5" t="inlineStr">
        <is>
          <t>vintage 2019 is 38 years from the subject's 1981, outside the +/-10-year band</t>
        </is>
      </c>
    </row>
    <row r="363">
      <c r="A363" s="5" t="inlineStr">
        <is>
          <t>Vetra Chandler</t>
        </is>
      </c>
      <c r="B363" s="5" t="inlineStr">
        <is>
          <t>4909 W Joshua Blvd, Chandler, AZ 85226</t>
        </is>
      </c>
      <c r="C363" s="10" t="n">
        <v>9.859999999999999</v>
      </c>
      <c r="D363" s="7" t="n">
        <v>396</v>
      </c>
      <c r="E363" s="5" t="inlineStr">
        <is>
          <t>mf</t>
        </is>
      </c>
      <c r="F363" s="8" t="n">
        <v>1986</v>
      </c>
      <c r="G363" s="5" t="inlineStr">
        <is>
          <t>outside the service's preselection of 20: its rents are tracked but no unit group was quoted for it, so it is listed nearby</t>
        </is>
      </c>
    </row>
    <row r="364">
      <c r="A364" s="5" t="inlineStr">
        <is>
          <t>Cortland Chandler Crossing</t>
        </is>
      </c>
      <c r="B364" s="5" t="inlineStr">
        <is>
          <t>900 N Rural Rd, Chandler, AZ 85226</t>
        </is>
      </c>
      <c r="C364" s="10" t="n">
        <v>9.869999999999999</v>
      </c>
      <c r="D364" s="7" t="n">
        <v>208</v>
      </c>
      <c r="E364" s="5" t="inlineStr">
        <is>
          <t>mf</t>
        </is>
      </c>
      <c r="F364" s="8" t="n">
        <v>1997</v>
      </c>
      <c r="G364" s="5" t="inlineStr">
        <is>
          <t>vintage 1997 is 16 years from the subject's 1981, outside the +/-10-year band</t>
        </is>
      </c>
    </row>
    <row r="365">
      <c r="A365" s="5" t="inlineStr">
        <is>
          <t>Denim Scottsdale</t>
        </is>
      </c>
      <c r="B365" s="5" t="inlineStr">
        <is>
          <t>7791 E Osborn Rd, Scottsdale, AZ 85251</t>
        </is>
      </c>
      <c r="C365" s="10" t="n">
        <v>9.869999999999999</v>
      </c>
      <c r="D365" s="7" t="n">
        <v>645</v>
      </c>
      <c r="E365" s="5" t="inlineStr">
        <is>
          <t>mf</t>
        </is>
      </c>
      <c r="F365" s="8" t="n">
        <v>1979</v>
      </c>
      <c r="G365" s="5" t="inlineStr">
        <is>
          <t>outside the service's preselection of 20: its rents are tracked but no unit group was quoted for it, so it is listed nearby</t>
        </is>
      </c>
    </row>
    <row r="366">
      <c r="A366" s="5" t="inlineStr">
        <is>
          <t>Mira Santi</t>
        </is>
      </c>
      <c r="B366" s="5" t="inlineStr">
        <is>
          <t>800 W Queen Creek Rd, Chandler, AZ 85248</t>
        </is>
      </c>
      <c r="C366" s="10" t="n">
        <v>9.890000000000001</v>
      </c>
      <c r="D366" s="7" t="n">
        <v>252</v>
      </c>
      <c r="E366" s="5" t="inlineStr">
        <is>
          <t>mf</t>
        </is>
      </c>
      <c r="F366" s="8" t="n">
        <v>1999</v>
      </c>
      <c r="G366" s="5" t="inlineStr">
        <is>
          <t>vintage 1999 is 18 years from the subject's 1981, outside the +/-10-year band</t>
        </is>
      </c>
    </row>
    <row r="367">
      <c r="A367" s="5" t="inlineStr">
        <is>
          <t>San Clemente at Power Ranch</t>
        </is>
      </c>
      <c r="B367" s="5" t="inlineStr">
        <is>
          <t>7640 S Power Rd, Gilbert, AZ 85297</t>
        </is>
      </c>
      <c r="C367" s="10" t="n">
        <v>9.890000000000001</v>
      </c>
      <c r="D367" s="7" t="n">
        <v>336</v>
      </c>
      <c r="E367" s="5" t="inlineStr">
        <is>
          <t>mf</t>
        </is>
      </c>
      <c r="F367" s="8" t="n">
        <v>2004</v>
      </c>
      <c r="G367" s="5" t="inlineStr">
        <is>
          <t>excluded from comp sets by the tracker: income_restricted</t>
        </is>
      </c>
    </row>
    <row r="368">
      <c r="A368" s="5" t="inlineStr">
        <is>
          <t>Liv Avenida Apartments</t>
        </is>
      </c>
      <c r="B368" s="5" t="inlineStr">
        <is>
          <t>3250 S Arizona Ave, Chandler, AZ 85248</t>
        </is>
      </c>
      <c r="C368" s="10" t="n">
        <v>9.91</v>
      </c>
      <c r="D368" s="7" t="n">
        <v>322</v>
      </c>
      <c r="E368" s="5" t="inlineStr">
        <is>
          <t>mf</t>
        </is>
      </c>
      <c r="F368" s="8" t="n">
        <v>2012</v>
      </c>
      <c r="G368" s="5" t="inlineStr">
        <is>
          <t>vintage 2012 is 31 years from the subject's 1981, outside the +/-10-year band</t>
        </is>
      </c>
    </row>
    <row r="369">
      <c r="A369" s="5" t="inlineStr">
        <is>
          <t>Studio 710</t>
        </is>
      </c>
      <c r="B369" s="5" t="inlineStr">
        <is>
          <t>710 S Hardy Dr, Tempe, AZ 85281</t>
        </is>
      </c>
      <c r="C369" s="10" t="n">
        <v>9.92</v>
      </c>
      <c r="D369" s="7" t="n">
        <v>239</v>
      </c>
      <c r="E369" s="5" t="inlineStr">
        <is>
          <t>mf</t>
        </is>
      </c>
      <c r="F369" s="8" t="n">
        <v>1975</v>
      </c>
      <c r="G369" s="5" t="inlineStr">
        <is>
          <t>outside the service's preselection of 20: its rents are tracked but no unit group was quoted for it, so it is listed nearby</t>
        </is>
      </c>
    </row>
    <row r="370">
      <c r="A370" s="5" t="inlineStr">
        <is>
          <t>Villagio Apartment Homes</t>
        </is>
      </c>
      <c r="B370" s="5" t="inlineStr">
        <is>
          <t>1133 W Baseline Rd, Tempe, AZ 85283-5351</t>
        </is>
      </c>
      <c r="C370" s="10" t="n">
        <v>9.92</v>
      </c>
      <c r="D370" s="7" t="n">
        <v>472</v>
      </c>
      <c r="E370" s="5" t="inlineStr">
        <is>
          <t>mf</t>
        </is>
      </c>
      <c r="F370" s="8" t="n">
        <v>1983</v>
      </c>
      <c r="G370" s="5" t="inlineStr">
        <is>
          <t>outside the service's preselection of 20: its rents are tracked but no unit group was quoted for it, so it is listed nearby</t>
        </is>
      </c>
    </row>
    <row r="371">
      <c r="A371" s="5" t="inlineStr">
        <is>
          <t>The Vintage</t>
        </is>
      </c>
      <c r="B371" s="5" t="inlineStr">
        <is>
          <t>7440 E Thomas Rd, Scottsdale, AZ 85251-6927</t>
        </is>
      </c>
      <c r="C371" s="10" t="n">
        <v>9.94</v>
      </c>
      <c r="D371" s="7" t="n">
        <v>152</v>
      </c>
      <c r="E371" s="5" t="inlineStr">
        <is>
          <t>mf</t>
        </is>
      </c>
      <c r="F371" s="8" t="n">
        <v>1971</v>
      </c>
      <c r="G371" s="5" t="inlineStr">
        <is>
          <t>outside the service's preselection of 20: its rents are tracked but no unit group was quoted for it, so it is listed nearby</t>
        </is>
      </c>
    </row>
    <row r="372">
      <c r="A372" s="5" t="inlineStr">
        <is>
          <t>San Palacio</t>
        </is>
      </c>
      <c r="B372" s="5" t="inlineStr">
        <is>
          <t>2255 W Germann Rd, Chandler, AZ 85286</t>
        </is>
      </c>
      <c r="C372" s="10" t="n">
        <v>9.949999999999999</v>
      </c>
      <c r="D372" s="7" t="n">
        <v>352</v>
      </c>
      <c r="E372" s="5" t="inlineStr">
        <is>
          <t>mf</t>
        </is>
      </c>
      <c r="F372" s="8" t="n">
        <v>2006</v>
      </c>
      <c r="G372" s="5" t="inlineStr">
        <is>
          <t>vintage 2006 is 25 years from the subject's 1981, outside the +/-10-year band</t>
        </is>
      </c>
    </row>
    <row r="373">
      <c r="A373" s="5" t="inlineStr">
        <is>
          <t>Omnia Baseline</t>
        </is>
      </c>
      <c r="B373" s="5" t="inlineStr">
        <is>
          <t>1145 W Baseline Rd, Tempe, AZ 85283</t>
        </is>
      </c>
      <c r="C373" s="10" t="n">
        <v>9.960000000000001</v>
      </c>
      <c r="D373" s="7" t="n">
        <v>169</v>
      </c>
      <c r="E373" s="5" t="inlineStr">
        <is>
          <t>mf</t>
        </is>
      </c>
      <c r="F373" s="8" t="n">
        <v>1982</v>
      </c>
      <c r="G373" s="5" t="inlineStr">
        <is>
          <t>outside the service's preselection of 20: its rents are tracked but no unit group was quoted for it, so it is listed nearby</t>
        </is>
      </c>
    </row>
    <row r="374"/>
    <row r="375">
      <c r="A375" s="4" t="inlineStr">
        <is>
          <t>By bed count — like for like</t>
        </is>
      </c>
      <c r="B375" s="4" t="n"/>
      <c r="C375" s="4" t="n"/>
      <c r="D375" s="4" t="n"/>
      <c r="E375" s="4" t="n"/>
    </row>
    <row r="376">
      <c r="A376" s="14" t="inlineStr">
        <is>
          <t>Beds</t>
        </is>
      </c>
      <c r="B376" s="14" t="inlineStr">
        <is>
          <t>Communities</t>
        </is>
      </c>
      <c r="C376" s="14" t="inlineStr">
        <is>
          <t>Plans</t>
        </is>
      </c>
      <c r="D376" s="14" t="inlineStr">
        <is>
          <t>Avg asking</t>
        </is>
      </c>
      <c r="E376" s="14" t="inlineStr">
        <is>
          <t>Avg net effective</t>
        </is>
      </c>
    </row>
    <row r="377">
      <c r="A377" s="5" t="inlineStr">
        <is>
          <t>1 bed</t>
        </is>
      </c>
      <c r="B377" s="7" t="n">
        <v>10</v>
      </c>
      <c r="C377" s="7" t="n">
        <v>10</v>
      </c>
      <c r="D377" s="7" t="n">
        <v>1118.3</v>
      </c>
      <c r="E377" s="7" t="n">
        <v>1068.7</v>
      </c>
    </row>
    <row r="378">
      <c r="A378" s="5" t="inlineStr">
        <is>
          <t>2 bed</t>
        </is>
      </c>
      <c r="B378" s="7" t="n">
        <v>6</v>
      </c>
      <c r="C378" s="7" t="n">
        <v>9</v>
      </c>
      <c r="D378" s="7" t="n">
        <v>1373.111111111111</v>
      </c>
      <c r="E378" s="7" t="n">
        <v>1281.222222222222</v>
      </c>
    </row>
    <row r="379"/>
    <row r="380">
      <c r="A380" s="4" t="inlineStr">
        <is>
          <t>Subject versus comp set — detailed tiers only</t>
        </is>
      </c>
      <c r="B380" s="4" t="n"/>
      <c r="C380" s="4" t="n"/>
      <c r="D380" s="4" t="n"/>
    </row>
    <row r="381">
      <c r="A381" s="5" t="inlineStr">
        <is>
          <t>Subject market rent</t>
        </is>
      </c>
      <c r="B381" s="7" t="n">
        <v>1344.6</v>
      </c>
      <c r="C381" s="6" t="inlineStr">
        <is>
          <t>Unit-weighted market rent for model, whole property.</t>
        </is>
      </c>
    </row>
    <row r="382">
      <c r="A382" s="5" t="inlineStr">
        <is>
          <t>Comp-set average asking</t>
        </is>
      </c>
      <c r="B382" s="7">
        <f>IFERROR(AVERAGE(H8:H14,H18:H29),"")</f>
        <v/>
      </c>
      <c r="C382" s="6" t="inlineStr">
        <is>
          <t>Over 10 communities in the detailed tiers (top 5 plus next 15) — never the whole radius.</t>
        </is>
      </c>
    </row>
    <row r="383">
      <c r="A383" s="5" t="inlineStr">
        <is>
          <t>Comp-set average net effective</t>
        </is>
      </c>
      <c r="B383" s="7">
        <f>IFERROR(AVERAGE(J8:J14,J18:J29),"")</f>
        <v/>
      </c>
    </row>
    <row r="384">
      <c r="A384" s="5" t="inlineStr">
        <is>
          <t>Comp set, mix-matched</t>
        </is>
      </c>
      <c r="B384" s="7" t="n">
        <v>1172.943495077356</v>
      </c>
      <c r="C384" s="6" t="inlineStr">
        <is>
          <t>Each bed count's comp net-effective weighted by the subject's own unit mix, so both sides describe the same product.</t>
        </is>
      </c>
    </row>
    <row r="385">
      <c r="A385" s="5" t="inlineStr">
        <is>
          <t>Subject rent, same bed counts</t>
        </is>
      </c>
      <c r="B385" s="7" t="n">
        <v>1314.301989343287</v>
      </c>
      <c r="C385" s="6" t="inlineStr">
        <is>
          <t>Restricted to the bed counts the comp set covers: [1, 2].</t>
        </is>
      </c>
    </row>
    <row r="386">
      <c r="A386" s="5" t="inlineStr">
        <is>
          <t>Mix coverage</t>
        </is>
      </c>
      <c r="B386" s="11" t="n">
        <v>0.9461077844311377</v>
      </c>
      <c r="C386" s="6" t="inlineStr">
        <is>
          <t>Share of the subject's units actually compared, by bed count and priced plan.</t>
        </is>
      </c>
    </row>
    <row r="387">
      <c r="A387" s="5" t="inlineStr">
        <is>
          <t>Subject vs comp set (mix-matched)</t>
        </is>
      </c>
      <c r="B387" s="11">
        <f>IFERROR(B385/B384-1,"")</f>
        <v/>
      </c>
      <c r="C387" s="6" t="inlineStr">
        <is>
          <t>Negative means the subject is underwritten BELOW the market — mark-to-market room rather than a stretch.</t>
        </is>
      </c>
    </row>
    <row r="388"/>
    <row r="389">
      <c r="A389" s="4" t="inlineStr">
        <is>
          <t>Two comp sets, selected identically except for the vintage test</t>
        </is>
      </c>
      <c r="B389" s="4" t="n"/>
      <c r="C389" s="4" t="n"/>
      <c r="D389" s="4" t="n"/>
      <c r="E389" s="4" t="n"/>
    </row>
    <row r="390">
      <c r="A390" s="6" t="inlineStr">
        <is>
          <t>Held fixed in both: candidate pool, product test, tracker comp exclusions, radius, closest-20 cap, per-community rent rules, mix weighting. Varied: the +/-10-year vintage test only.</t>
        </is>
      </c>
    </row>
    <row r="391">
      <c r="A391" s="14" t="inlineStr">
        <is>
          <t>Comp set</t>
        </is>
      </c>
      <c r="B391" s="14" t="inlineStr">
        <is>
          <t>Communities</t>
        </is>
      </c>
      <c r="C391" s="14" t="inlineStr">
        <is>
          <t>Vintages</t>
        </is>
      </c>
      <c r="D391" s="14" t="inlineStr">
        <is>
          <t>Comp net effective</t>
        </is>
      </c>
      <c r="E391" s="14" t="inlineStr">
        <is>
          <t>Subject reads</t>
        </is>
      </c>
    </row>
    <row r="392">
      <c r="A392" s="5" t="inlineStr">
        <is>
          <t>A — vintage test ON</t>
        </is>
      </c>
      <c r="B392" s="7" t="n">
        <v>10</v>
      </c>
      <c r="C392" s="5" t="inlineStr">
        <is>
          <t>1981–1987</t>
        </is>
      </c>
      <c r="D392" s="7" t="n">
        <v>1172.943495077356</v>
      </c>
      <c r="E392" s="11" t="n">
        <v>0.1205160307032596</v>
      </c>
    </row>
    <row r="393">
      <c r="A393" s="5" t="inlineStr">
        <is>
          <t>B — vintage test OFF</t>
        </is>
      </c>
      <c r="B393" s="7" t="n">
        <v>13</v>
      </c>
      <c r="C393" s="5" t="inlineStr">
        <is>
          <t>1981–2018</t>
        </is>
      </c>
      <c r="D393" s="7" t="n">
        <v>1217.446518987342</v>
      </c>
      <c r="E393" s="11" t="n">
        <v>0.07955624238550407</v>
      </c>
    </row>
    <row r="394">
      <c r="A394" s="18" t="inlineStr">
        <is>
          <t>Difference between the two sets</t>
        </is>
      </c>
      <c r="B394" s="19" t="n"/>
      <c r="C394" s="19" t="n"/>
      <c r="D394" s="20" t="n">
        <v>44.50302390998604</v>
      </c>
      <c r="E394" s="21" t="n">
        <v>0.04095978831775549</v>
      </c>
    </row>
    <row r="395"/>
    <row r="396">
      <c r="A396" s="5" t="inlineStr">
        <is>
          <t>In B but not A</t>
        </is>
      </c>
      <c r="B396" s="5" t="inlineStr">
        <is>
          <t>Lindsay Palms Apartments, The Premiere at Dana Park, Vista Grove</t>
        </is>
      </c>
    </row>
    <row r="397">
      <c r="A397" s="5" t="inlineStr">
        <is>
          <t>In A but not B</t>
        </is>
      </c>
      <c r="B397" s="5" t="inlineStr">
        <is>
          <t>—</t>
        </is>
      </c>
    </row>
    <row r="398">
      <c r="A398" s="6" t="inlineStr">
        <is>
          <t>Both figures are weighted by this property's own unit mix and computed over the same bed counts, so the two rows describe the same product. This is what these two sets measured on this date; it is not an estimate of what vintage is worth in this market.</t>
        </is>
      </c>
    </row>
    <row r="399"/>
    <row r="400">
      <c r="A400" s="4" t="inlineStr">
        <is>
          <t>Stated in the offering memorandum</t>
        </is>
      </c>
      <c r="B400" s="4" t="n"/>
      <c r="C400" s="4" t="n"/>
      <c r="D400" s="4" t="n"/>
      <c r="E400" s="4" t="n"/>
      <c r="F400" s="4" t="n"/>
      <c r="G400" s="4" t="n"/>
      <c r="H400" s="4" t="n"/>
      <c r="I400" s="4" t="n"/>
      <c r="J400" s="4" t="n"/>
    </row>
    <row r="401">
      <c r="A401" s="2" t="inlineStr">
        <is>
          <t>The memorandum's stated comparables are withheld: they would place the real asset.</t>
        </is>
      </c>
    </row>
    <row r="402">
      <c r="A402" s="6" t="inlineStr">
        <is>
          <t>Retail for-sale comps are not part of this demo. Sale comparables shown here are the whole-community trades the memorandum itself cites.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Southern Avenue Sample — as of 2026-08-31</t>
        </is>
      </c>
    </row>
    <row r="3">
      <c r="A3" s="2" t="inlineStr">
        <is>
          <t>Rates as actually billed, not statutory or effective. The current-year block is checked against the bill the offering memorandum states — the seller's figure, not the county's;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301-04-002K</t>
        </is>
      </c>
      <c r="C6" s="6" t="inlineStr">
        <is>
          <t>As stated in the offering memorandum, not a county record.</t>
        </is>
      </c>
      <c r="D6" s="6" t="inlineStr">
        <is>
          <t>Sample Property Offering Memorandum.pdf — p.10</t>
        </is>
      </c>
    </row>
    <row r="7">
      <c r="A7" s="5" t="inlineStr">
        <is>
          <t>Tax area code</t>
        </is>
      </c>
      <c r="B7" s="5" t="inlineStr">
        <is>
          <t>Internal pipeline only</t>
        </is>
      </c>
      <c r="C7" s="6" t="inlineStr">
        <is>
          <t>See parcel: read off the county assessor's portal by the internal pipeline only.</t>
        </is>
      </c>
      <c r="D7" s="6" t="inlineStr">
        <is>
          <t>Internal pipeline only</t>
        </is>
      </c>
    </row>
    <row r="8">
      <c r="A8" s="5" t="inlineStr">
        <is>
          <t>Combined rate (per $100 of assessed value)</t>
        </is>
      </c>
      <c r="B8" s="10" t="n">
        <v>10.2573</v>
      </c>
      <c r="C8" s="6" t="inlineStr">
        <is>
          <t>Rate as actually billed — not a statutory or effective rate.</t>
        </is>
      </c>
      <c r="D8" s="6" t="inlineStr">
        <is>
          <t>Vendored county rate table — property_tax_table.COUNTY_RATES[('AZ', 'maricopa')]</t>
        </is>
      </c>
    </row>
    <row r="9">
      <c r="A9" s="5" t="inlineStr">
        <is>
          <t>Assessment ratio (legal class)</t>
        </is>
      </c>
      <c r="B9" s="11" t="n">
        <v>0.1</v>
      </c>
      <c r="D9" s="6" t="inlineStr">
        <is>
          <t>Vendored county rate table — property_tax_table.STATE_RULES['AZ']</t>
        </is>
      </c>
    </row>
    <row r="10">
      <c r="A10" s="5" t="inlineStr">
        <is>
          <t>Rate evidence</t>
        </is>
      </c>
      <c r="B10" s="12" t="n"/>
      <c r="C10"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11"/>
    <row r="12">
      <c r="A12" s="4" t="inlineStr">
        <is>
          <t>Current year — computed, then checked against the bill</t>
        </is>
      </c>
      <c r="B12" s="4" t="n"/>
      <c r="C12" s="4" t="n"/>
      <c r="D12" s="4" t="n"/>
    </row>
    <row r="13">
      <c r="A13" s="5" t="inlineStr">
        <is>
          <t>Assessed-value basis</t>
        </is>
      </c>
      <c r="B13" s="12" t="n"/>
      <c r="C13" s="6" t="inlineStr">
        <is>
          <t>Limited property value (LPV), per the county assessor</t>
        </is>
      </c>
      <c r="D13" s="6" t="inlineStr">
        <is>
          <t>Internal pipeline only</t>
        </is>
      </c>
    </row>
    <row r="14">
      <c r="A14" s="5" t="inlineStr">
        <is>
          <t>Assessment ratio</t>
        </is>
      </c>
      <c r="B14" s="11" t="n">
        <v>0.1</v>
      </c>
    </row>
    <row r="15">
      <c r="A15" s="5" t="inlineStr">
        <is>
          <t>Assessed value</t>
        </is>
      </c>
      <c r="B15" s="7">
        <f>B13*B14</f>
        <v/>
      </c>
      <c r="C15" s="6" t="inlineStr">
        <is>
          <t>Basis times the legal-class ratio.</t>
        </is>
      </c>
    </row>
    <row r="16">
      <c r="A16" s="5" t="inlineStr">
        <is>
          <t>Combined rate</t>
        </is>
      </c>
      <c r="B16" s="10" t="n">
        <v>10.2573</v>
      </c>
    </row>
    <row r="17">
      <c r="A17" s="5" t="inlineStr">
        <is>
          <t>Rate divisor (per)</t>
        </is>
      </c>
      <c r="B17" s="7" t="n">
        <v>100</v>
      </c>
      <c r="C17" s="6" t="inlineStr">
        <is>
          <t>The rate's unit. Never defaulted: it decides whether the rate is per $100 or per $1,000.</t>
        </is>
      </c>
    </row>
    <row r="18">
      <c r="A18" s="5" t="inlineStr">
        <is>
          <t>Exemption</t>
        </is>
      </c>
      <c r="B18" s="7" t="n">
        <v>0</v>
      </c>
      <c r="C18" s="6" t="inlineStr">
        <is>
          <t>Normalized: an unstated exemption is zero here, which is what the computed figure assumes.</t>
        </is>
      </c>
      <c r="D18" s="6" t="inlineStr">
        <is>
          <t>Internal pipeline only</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Tax bill as stated in the offering memorandum</t>
        </is>
      </c>
      <c r="B20" s="7" t="n">
        <v>249122</v>
      </c>
      <c r="C20" s="6" t="inlineStr">
        <is>
          <t>For 2025, as the memorandum states it — the seller's figure, not verified against the county.</t>
        </is>
      </c>
      <c r="D20" s="6" t="inlineStr">
        <is>
          <t>Sample Property Offering Memorandum.pdf — p.10</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NOT CHECKED</t>
        </is>
      </c>
    </row>
    <row r="23">
      <c r="A23" s="5" t="inlineStr">
        <is>
          <t>Property taxes per the statement (T-12)</t>
        </is>
      </c>
      <c r="B23" s="7" t="n">
        <v>239566.79</v>
      </c>
      <c r="C23" s="6" t="inlineStr">
        <is>
          <t>As billed in the uploaded statement over its twelve months — the operator's ledger, not the county's bill, which the demo does not fetch.</t>
        </is>
      </c>
      <c r="D23" s="6" t="inlineStr">
        <is>
          <t>Sample Property T-12 June 26.xlsx — Property Taxes lines (computed)</t>
        </is>
      </c>
    </row>
    <row r="24">
      <c r="A24" s="5" t="inlineStr">
        <is>
          <t>Per-unit sanity band</t>
        </is>
      </c>
      <c r="B24" s="12" t="n"/>
      <c r="C24" s="6" t="inlineStr">
        <is>
          <t>In band (the statement's line per unit): $717 per unit a year is inside the AZ band of $400–$2,600</t>
        </is>
      </c>
      <c r="D24" s="6" t="inlineStr">
        <is>
          <t>Vendored county rate table — property_tax_table.band_check (derived)</t>
        </is>
      </c>
    </row>
    <row r="25"/>
    <row r="26">
      <c r="A26" s="4" t="inlineStr">
        <is>
          <t>Underwriting assumption at the illustrative price</t>
        </is>
      </c>
      <c r="B26" s="4" t="n"/>
      <c r="C26" s="4" t="n"/>
      <c r="D26" s="4" t="n"/>
    </row>
    <row r="27">
      <c r="A27" s="5" t="inlineStr">
        <is>
          <t>State</t>
        </is>
      </c>
      <c r="B27" s="5" t="inlineStr">
        <is>
          <t>AZ</t>
        </is>
      </c>
    </row>
    <row r="28">
      <c r="A28" s="5" t="inlineStr">
        <is>
          <t>Does the basis reset on sale?</t>
        </is>
      </c>
      <c r="B28" s="5" t="inlineStr">
        <is>
          <t>No</t>
        </is>
      </c>
      <c r="C28" s="6" t="inlineStr">
        <is>
          <t>AZ does not reset the assessed value on sale. Proposition 117 caps growth in the limited property value at 5% a year, so year-one tax is the current basis grown at the cap — NOT the purchase price times the assessment ratio.</t>
        </is>
      </c>
    </row>
    <row r="29">
      <c r="A29" s="5" t="inlineStr">
        <is>
          <t>Illustrative purchase price (illustrative)</t>
        </is>
      </c>
      <c r="B29" s="7" t="n">
        <v>71810000</v>
      </c>
    </row>
    <row r="30">
      <c r="A30" s="5" t="inlineStr">
        <is>
          <t>Year-one full value</t>
        </is>
      </c>
      <c r="B30" s="12" t="n"/>
      <c r="C30" s="6" t="inlineStr">
        <is>
          <t>Current LPV grown 5% (the Prop 117 cap)</t>
        </is>
      </c>
    </row>
    <row r="31">
      <c r="A31" s="5" t="inlineStr">
        <is>
          <t>Year-one assessed value</t>
        </is>
      </c>
      <c r="B31" s="12" t="n"/>
      <c r="C31" s="6" t="inlineStr">
        <is>
          <t>Assessed value = full value x assessment ratio</t>
        </is>
      </c>
    </row>
    <row r="32">
      <c r="A32" s="5" t="inlineStr">
        <is>
          <t>Year-one tax (illustrative)</t>
        </is>
      </c>
      <c r="B32" s="12" t="n"/>
      <c r="C32" s="6" t="inlineStr">
        <is>
          <t>The figure to carry into the model.</t>
        </is>
      </c>
    </row>
    <row r="33">
      <c r="A33" s="5" t="inlineStr">
        <is>
          <t>Year-one tax per unit (illustrative)</t>
        </is>
      </c>
      <c r="B33" s="12" t="n"/>
    </row>
    <row r="34"/>
    <row r="35">
      <c r="A35" s="4" t="inlineStr">
        <is>
          <t>What the generic shortcut would have said</t>
        </is>
      </c>
      <c r="B35" s="4" t="n"/>
      <c r="C35" s="4" t="n"/>
      <c r="D35" s="4" t="n"/>
    </row>
    <row r="36">
      <c r="A36" s="5" t="inlineStr">
        <is>
          <t>Assessed value if it reset to the price</t>
        </is>
      </c>
      <c r="B36" s="7" t="n">
        <v>7181000</v>
      </c>
      <c r="C36" s="6" t="inlineStr">
        <is>
          <t>Purchase price times the assessment ratio — the pattern that holds in most states.</t>
        </is>
      </c>
    </row>
    <row r="37">
      <c r="A37" s="5" t="inlineStr">
        <is>
          <t>Tax on that basis</t>
        </is>
      </c>
      <c r="B37" s="7" t="n">
        <v>736576.7130000001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Southern Avenue Sample — as of 2026-08-31</t>
        </is>
      </c>
    </row>
    <row r="3">
      <c r="A3" s="2" t="inlineStr">
        <is>
          <t>Ring demographics from the operator's own engine, via the market-report service. ACS 2020-2024 5-year, 2020 Decennial baseline, LODES 2023 workplace counts, BLS metro series. All public,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then the whole block group is counted —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(income distribution, renter share, sector concentration),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5-year actual, and a 2026 projection at the stated annual rate. The projection is an assumption and is labelled as one.</t>
        </is>
      </c>
    </row>
    <row r="9">
      <c r="A9" s="14" t="inlineStr"/>
      <c r="B9" s="14" t="inlineStr">
        <is>
          <t>1 mi</t>
        </is>
      </c>
      <c r="C9" s="14" t="inlineStr">
        <is>
          <t>3 mi</t>
        </is>
      </c>
      <c r="D9" s="14" t="inlineStr">
        <is>
          <t>5 mi</t>
        </is>
      </c>
      <c r="E9" s="14" t="inlineStr">
        <is>
          <t>10 mi</t>
        </is>
      </c>
      <c r="F9" s="14" t="inlineStr">
        <is>
          <t>Phoenix MSA</t>
        </is>
      </c>
      <c r="G9" s="14" t="inlineStr">
        <is>
          <t>Arizona</t>
        </is>
      </c>
      <c r="H9" s="14" t="inlineStr">
        <is>
          <t>U.S.</t>
        </is>
      </c>
    </row>
    <row r="10">
      <c r="A10" s="5" t="inlineStr">
        <is>
          <t>Households (2020 Census)</t>
        </is>
      </c>
      <c r="B10" s="7" t="n">
        <v>7205.408782354566</v>
      </c>
      <c r="C10" s="7" t="n">
        <v>56132.3904975113</v>
      </c>
      <c r="D10" s="7" t="n">
        <v>146225.0843639599</v>
      </c>
      <c r="E10" s="7" t="n">
        <v>419520.7372023506</v>
      </c>
      <c r="F10" s="7" t="n">
        <v>1790242</v>
      </c>
      <c r="G10" s="7" t="n">
        <v>2705878</v>
      </c>
      <c r="H10" s="7" t="n">
        <v>126817580</v>
      </c>
    </row>
    <row r="11">
      <c r="A11" s="5" t="inlineStr">
        <is>
          <t>Households (2024 actual)</t>
        </is>
      </c>
      <c r="B11" s="7" t="n">
        <v>7711</v>
      </c>
      <c r="C11" s="7" t="n">
        <v>58574</v>
      </c>
      <c r="D11" s="7" t="n">
        <v>150543</v>
      </c>
      <c r="E11" s="7" t="n">
        <v>437696</v>
      </c>
      <c r="F11" s="7" t="n">
        <v>1892613</v>
      </c>
      <c r="G11" s="7" t="n">
        <v>2856081</v>
      </c>
      <c r="H11" s="7" t="n">
        <v>129227496</v>
      </c>
    </row>
    <row r="12">
      <c r="A12" s="5" t="inlineStr">
        <is>
          <t>Growth 2020 to 2024</t>
        </is>
      </c>
      <c r="B12" s="11" t="n">
        <v>0.07016829064349328</v>
      </c>
      <c r="C12" s="11" t="n">
        <v>0.04349733693591684</v>
      </c>
      <c r="D12" s="11" t="n">
        <v>0.02952924017668956</v>
      </c>
      <c r="E12" s="11" t="n">
        <v>0.0433238721853284</v>
      </c>
      <c r="F12" s="11" t="n">
        <v>0.05718277193809551</v>
      </c>
      <c r="G12" s="11" t="n">
        <v>0.05550989364635073</v>
      </c>
      <c r="H12" s="11" t="n">
        <v>0.01900301204296762</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8061.898693749999</v>
      </c>
      <c r="C14" s="7" t="n">
        <v>61239.48308749999</v>
      </c>
      <c r="D14" s="7" t="n">
        <v>157393.64739375</v>
      </c>
      <c r="E14" s="7" t="n">
        <v>457613.9036</v>
      </c>
      <c r="F14" s="7" t="n">
        <v>1978738.72033125</v>
      </c>
      <c r="G14" s="7" t="n">
        <v>2986050.536006249</v>
      </c>
      <c r="H14" s="7" t="n">
        <v>135108154.73985</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Phoenix MSA</t>
        </is>
      </c>
      <c r="G17" s="14" t="inlineStr">
        <is>
          <t>Arizona</t>
        </is>
      </c>
      <c r="H17" s="14" t="inlineStr">
        <is>
          <t>U.S.</t>
        </is>
      </c>
    </row>
    <row r="18">
      <c r="A18" s="5" t="inlineStr">
        <is>
          <t>Population (2020 Census)</t>
        </is>
      </c>
      <c r="B18" s="7" t="n">
        <v>20710</v>
      </c>
      <c r="C18" s="7" t="n">
        <v>155942</v>
      </c>
      <c r="D18" s="7" t="n">
        <v>393000</v>
      </c>
      <c r="E18" s="7" t="n">
        <v>1100029</v>
      </c>
      <c r="F18" s="7" t="n">
        <v>4845832</v>
      </c>
      <c r="G18" s="7" t="n">
        <v>7151502</v>
      </c>
      <c r="H18" s="7" t="n">
        <v>331449281</v>
      </c>
    </row>
    <row r="19">
      <c r="A19" s="5" t="inlineStr">
        <is>
          <t>Population (2024 actual)</t>
        </is>
      </c>
      <c r="B19" s="7" t="n">
        <v>20297</v>
      </c>
      <c r="C19" s="7" t="n">
        <v>159356</v>
      </c>
      <c r="D19" s="7" t="n">
        <v>394900</v>
      </c>
      <c r="E19" s="7" t="n">
        <v>1119327</v>
      </c>
      <c r="F19" s="7" t="n">
        <v>5028754</v>
      </c>
      <c r="G19" s="7" t="n">
        <v>7378838</v>
      </c>
      <c r="H19" s="7" t="n">
        <v>334922499</v>
      </c>
    </row>
    <row r="20">
      <c r="A20" s="5" t="inlineStr">
        <is>
          <t>Growth 2020 to 2024</t>
        </is>
      </c>
      <c r="B20" s="11" t="n">
        <v>-0.01994205697730567</v>
      </c>
      <c r="C20" s="11" t="n">
        <v>0.0218927549986534</v>
      </c>
      <c r="D20" s="11" t="n">
        <v>0.004834605597964448</v>
      </c>
      <c r="E20" s="11" t="n">
        <v>0.01754317386177995</v>
      </c>
      <c r="F20" s="11" t="n">
        <v>0.03774831649136834</v>
      </c>
      <c r="G20" s="11" t="n">
        <v>0.03178856693321208</v>
      </c>
      <c r="H20" s="11" t="n">
        <v>0.01047888228787563</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20745.989937</v>
      </c>
      <c r="C22" s="7" t="n">
        <v>162881.114076</v>
      </c>
      <c r="D22" s="7" t="n">
        <v>403635.5828999999</v>
      </c>
      <c r="E22" s="7" t="n">
        <v>1144087.632567</v>
      </c>
      <c r="F22" s="7" t="n">
        <v>5139995.067233999</v>
      </c>
      <c r="G22" s="7" t="n">
        <v>7542065.275397999</v>
      </c>
      <c r="H22" s="7" t="n">
        <v>342331319.6003789</v>
      </c>
    </row>
    <row r="24">
      <c r="A24" s="4" t="inlineStr">
        <is>
          <t>Households by income (2024 actual)</t>
        </is>
      </c>
      <c r="B24" s="4" t="n"/>
      <c r="C24" s="4" t="n"/>
      <c r="D24" s="4" t="n"/>
      <c r="E24" s="4" t="n"/>
      <c r="F24" s="4" t="n"/>
      <c r="G24" s="4" t="n"/>
      <c r="H24" s="4" t="n"/>
    </row>
    <row r="25">
      <c r="A25" s="6" t="inlineStr">
        <is>
          <t>ACS 5-year table B19001, sixteen source brackets collapsed to eight. The two subtotals are the affordability read: what share of households could carry this property's rents.</t>
        </is>
      </c>
    </row>
    <row r="26">
      <c r="A26" s="14" t="inlineStr"/>
      <c r="B26" s="14" t="inlineStr">
        <is>
          <t>1 mi</t>
        </is>
      </c>
      <c r="C26" s="14" t="inlineStr">
        <is>
          <t>3 mi</t>
        </is>
      </c>
      <c r="D26" s="14" t="inlineStr">
        <is>
          <t>5 mi</t>
        </is>
      </c>
      <c r="E26" s="14" t="inlineStr">
        <is>
          <t>10 mi</t>
        </is>
      </c>
      <c r="F26" s="14" t="inlineStr">
        <is>
          <t>Phoenix MSA</t>
        </is>
      </c>
      <c r="G26" s="14" t="inlineStr">
        <is>
          <t>Arizona</t>
        </is>
      </c>
      <c r="H26" s="14" t="inlineStr">
        <is>
          <t>U.S.</t>
        </is>
      </c>
    </row>
    <row r="27">
      <c r="A27" s="5" t="inlineStr">
        <is>
          <t xml:space="preserve">    Less than $25,000</t>
        </is>
      </c>
      <c r="B27" s="7" t="n">
        <v>593</v>
      </c>
      <c r="C27" s="7" t="n">
        <v>6243</v>
      </c>
      <c r="D27" s="7" t="n">
        <v>17153</v>
      </c>
      <c r="E27" s="7" t="n">
        <v>47798</v>
      </c>
      <c r="F27" s="7" t="n">
        <v>211506</v>
      </c>
      <c r="G27" s="7" t="n">
        <v>384330</v>
      </c>
      <c r="H27" s="7" t="n">
        <v>18908588</v>
      </c>
    </row>
    <row r="28">
      <c r="A28" s="5" t="inlineStr">
        <is>
          <t xml:space="preserve">    $25,000 - $49,999</t>
        </is>
      </c>
      <c r="B28" s="7" t="n">
        <v>1552</v>
      </c>
      <c r="C28" s="7" t="n">
        <v>10719</v>
      </c>
      <c r="D28" s="7" t="n">
        <v>25455</v>
      </c>
      <c r="E28" s="7" t="n">
        <v>64599</v>
      </c>
      <c r="F28" s="7" t="n">
        <v>288010</v>
      </c>
      <c r="G28" s="7" t="n">
        <v>488306</v>
      </c>
      <c r="H28" s="7" t="n">
        <v>21624902</v>
      </c>
    </row>
    <row r="29">
      <c r="A29" s="5" t="inlineStr">
        <is>
          <t xml:space="preserve">    $50,000 - $74,999</t>
        </is>
      </c>
      <c r="B29" s="7" t="n">
        <v>1422</v>
      </c>
      <c r="C29" s="7" t="n">
        <v>10649</v>
      </c>
      <c r="D29" s="7" t="n">
        <v>25949</v>
      </c>
      <c r="E29" s="7" t="n">
        <v>70655</v>
      </c>
      <c r="F29" s="7" t="n">
        <v>302932</v>
      </c>
      <c r="G29" s="7" t="n">
        <v>472147</v>
      </c>
      <c r="H29" s="7" t="n">
        <v>20031683</v>
      </c>
    </row>
    <row r="30">
      <c r="A30" s="5" t="inlineStr">
        <is>
          <t xml:space="preserve">    $75,000 - $99,999</t>
        </is>
      </c>
      <c r="B30" s="7" t="n">
        <v>1521</v>
      </c>
      <c r="C30" s="7" t="n">
        <v>8627</v>
      </c>
      <c r="D30" s="7" t="n">
        <v>21848</v>
      </c>
      <c r="E30" s="7" t="n">
        <v>60999</v>
      </c>
      <c r="F30" s="7" t="n">
        <v>259375</v>
      </c>
      <c r="G30" s="7" t="n">
        <v>385994</v>
      </c>
      <c r="H30" s="7" t="n">
        <v>16319799</v>
      </c>
    </row>
    <row r="31">
      <c r="A31" s="5" t="inlineStr">
        <is>
          <t xml:space="preserve">    $100,000 - $124,999</t>
        </is>
      </c>
      <c r="B31" s="7" t="n">
        <v>1107</v>
      </c>
      <c r="C31" s="7" t="n">
        <v>7376</v>
      </c>
      <c r="D31" s="7" t="n">
        <v>16579</v>
      </c>
      <c r="E31" s="7" t="n">
        <v>51719</v>
      </c>
      <c r="F31" s="7" t="n">
        <v>217512</v>
      </c>
      <c r="G31" s="7" t="n">
        <v>308860</v>
      </c>
      <c r="H31" s="7" t="n">
        <v>13068961</v>
      </c>
    </row>
    <row r="32">
      <c r="A32" s="5" t="inlineStr">
        <is>
          <t xml:space="preserve">    $125,000 - $149,999</t>
        </is>
      </c>
      <c r="B32" s="7" t="n">
        <v>562</v>
      </c>
      <c r="C32" s="7" t="n">
        <v>4953</v>
      </c>
      <c r="D32" s="7" t="n">
        <v>12640</v>
      </c>
      <c r="E32" s="7" t="n">
        <v>38937</v>
      </c>
      <c r="F32" s="7" t="n">
        <v>156498</v>
      </c>
      <c r="G32" s="7" t="n">
        <v>216619</v>
      </c>
      <c r="H32" s="7" t="n">
        <v>9601960</v>
      </c>
    </row>
    <row r="33">
      <c r="A33" s="5" t="inlineStr">
        <is>
          <t xml:space="preserve">    $150,000 - $199,999</t>
        </is>
      </c>
      <c r="B33" s="7" t="n">
        <v>538</v>
      </c>
      <c r="C33" s="7" t="n">
        <v>5032</v>
      </c>
      <c r="D33" s="7" t="n">
        <v>14857</v>
      </c>
      <c r="E33" s="7" t="n">
        <v>47604</v>
      </c>
      <c r="F33" s="7" t="n">
        <v>198896</v>
      </c>
      <c r="G33" s="7" t="n">
        <v>269589</v>
      </c>
      <c r="H33" s="7" t="n">
        <v>12405370</v>
      </c>
    </row>
    <row r="34">
      <c r="A34" s="5" t="inlineStr">
        <is>
          <t xml:space="preserve">    $200,000 and over</t>
        </is>
      </c>
      <c r="B34" s="7" t="n">
        <v>415</v>
      </c>
      <c r="C34" s="7" t="n">
        <v>4977</v>
      </c>
      <c r="D34" s="7" t="n">
        <v>16061</v>
      </c>
      <c r="E34" s="7" t="n">
        <v>55384</v>
      </c>
      <c r="F34" s="7" t="n">
        <v>257884</v>
      </c>
      <c r="G34" s="7" t="n">
        <v>330236</v>
      </c>
      <c r="H34" s="7" t="n">
        <v>17266233</v>
      </c>
    </row>
    <row r="35">
      <c r="A35" s="5" t="inlineStr">
        <is>
          <t>Subtotal $50,000 and over</t>
        </is>
      </c>
      <c r="B35" s="7" t="n">
        <v>5566</v>
      </c>
      <c r="C35" s="7" t="n">
        <v>41613</v>
      </c>
      <c r="D35" s="7" t="n">
        <v>107934</v>
      </c>
      <c r="E35" s="7" t="n">
        <v>325299</v>
      </c>
      <c r="F35" s="7" t="n">
        <v>1393097</v>
      </c>
      <c r="G35" s="7" t="n">
        <v>1983445</v>
      </c>
      <c r="H35" s="7" t="n">
        <v>88694006</v>
      </c>
    </row>
    <row r="36">
      <c r="A36" s="5" t="inlineStr">
        <is>
          <t xml:space="preserve">   share of households</t>
        </is>
      </c>
      <c r="B36" s="11" t="n">
        <v>0.722</v>
      </c>
      <c r="C36" s="11" t="n">
        <v>0.71</v>
      </c>
      <c r="D36" s="11" t="n">
        <v>0.7170000000000001</v>
      </c>
      <c r="E36" s="11" t="n">
        <v>0.743</v>
      </c>
      <c r="F36" s="11" t="n">
        <v>0.736</v>
      </c>
      <c r="G36" s="11" t="n">
        <v>0.6940000000000001</v>
      </c>
      <c r="H36" s="11" t="n">
        <v>0.6859999999999999</v>
      </c>
    </row>
    <row r="37">
      <c r="A37" s="5" t="inlineStr">
        <is>
          <t>Subtotal $100,000 and over</t>
        </is>
      </c>
      <c r="B37" s="7" t="n">
        <v>2623</v>
      </c>
      <c r="C37" s="7" t="n">
        <v>22337</v>
      </c>
      <c r="D37" s="7" t="n">
        <v>60138</v>
      </c>
      <c r="E37" s="7" t="n">
        <v>193645</v>
      </c>
      <c r="F37" s="7" t="n">
        <v>830790</v>
      </c>
      <c r="G37" s="7" t="n">
        <v>1125304</v>
      </c>
      <c r="H37" s="7" t="n">
        <v>52342524</v>
      </c>
    </row>
    <row r="38">
      <c r="A38" s="5" t="inlineStr">
        <is>
          <t xml:space="preserve">   share of households</t>
        </is>
      </c>
      <c r="B38" s="11" t="n">
        <v>0.34</v>
      </c>
      <c r="C38" s="11" t="n">
        <v>0.381</v>
      </c>
      <c r="D38" s="11" t="n">
        <v>0.399</v>
      </c>
      <c r="E38" s="11" t="n">
        <v>0.442</v>
      </c>
      <c r="F38" s="11" t="n">
        <v>0.439</v>
      </c>
      <c r="G38" s="11" t="n">
        <v>0.394</v>
      </c>
      <c r="H38" s="11" t="n">
        <v>0.405</v>
      </c>
    </row>
    <row r="40">
      <c r="A40" s="4" t="inlineStr">
        <is>
          <t>Income and affordability</t>
        </is>
      </c>
      <c r="B40" s="4" t="n"/>
      <c r="C40" s="4" t="n"/>
      <c r="D40" s="4" t="n"/>
      <c r="E40" s="4" t="n"/>
      <c r="F40" s="4" t="n"/>
      <c r="G40" s="4" t="n"/>
      <c r="H40" s="4" t="n"/>
    </row>
    <row r="41">
      <c r="A41" s="6" t="inlineStr">
        <is>
          <t>Median is interpolated from the bracket distribution above rather than read from the ACS median table, so the median and the brackets cannot disagree.</t>
        </is>
      </c>
    </row>
    <row r="42">
      <c r="A42" s="14" t="inlineStr"/>
      <c r="B42" s="14" t="inlineStr">
        <is>
          <t>1 mi</t>
        </is>
      </c>
      <c r="C42" s="14" t="inlineStr">
        <is>
          <t>3 mi</t>
        </is>
      </c>
      <c r="D42" s="14" t="inlineStr">
        <is>
          <t>5 mi</t>
        </is>
      </c>
      <c r="E42" s="14" t="inlineStr">
        <is>
          <t>10 mi</t>
        </is>
      </c>
      <c r="F42" s="14" t="inlineStr">
        <is>
          <t>Phoenix MSA</t>
        </is>
      </c>
      <c r="G42" s="14" t="inlineStr">
        <is>
          <t>Arizona</t>
        </is>
      </c>
      <c r="H42" s="14" t="inlineStr">
        <is>
          <t>U.S.</t>
        </is>
      </c>
    </row>
    <row r="43">
      <c r="A43" s="5" t="inlineStr">
        <is>
          <t>Average household income (2024)</t>
        </is>
      </c>
      <c r="B43" s="7" t="n">
        <v>94565</v>
      </c>
      <c r="C43" s="7" t="n">
        <v>98600</v>
      </c>
      <c r="D43" s="7" t="n">
        <v>105369</v>
      </c>
      <c r="E43" s="7" t="n">
        <v>113475</v>
      </c>
      <c r="F43" s="7" t="n">
        <v>118255</v>
      </c>
      <c r="G43" s="7" t="n">
        <v>108273</v>
      </c>
      <c r="H43" s="7" t="n">
        <v>113530</v>
      </c>
    </row>
    <row r="44">
      <c r="A44" s="5" t="inlineStr">
        <is>
          <t>Median household income (2024)</t>
        </is>
      </c>
      <c r="B44" s="7" t="n">
        <v>79735</v>
      </c>
      <c r="C44" s="7" t="n">
        <v>79858</v>
      </c>
      <c r="D44" s="7" t="n">
        <v>82683</v>
      </c>
      <c r="E44" s="7" t="n">
        <v>89671</v>
      </c>
      <c r="F44" s="7" t="n">
        <v>88866</v>
      </c>
      <c r="G44" s="7" t="n">
        <v>80392</v>
      </c>
      <c r="H44" s="7" t="n">
        <v>81202</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106654.56786</v>
      </c>
      <c r="C46" s="7" t="n">
        <v>111205.4184</v>
      </c>
      <c r="D46" s="7" t="n">
        <v>118839.794436</v>
      </c>
      <c r="E46" s="7" t="n">
        <v>127982.0979</v>
      </c>
      <c r="F46" s="7" t="n">
        <v>133373.19222</v>
      </c>
      <c r="G46" s="7" t="n">
        <v>122115.053412</v>
      </c>
      <c r="H46" s="7" t="n">
        <v>128044.12932</v>
      </c>
    </row>
    <row r="47">
      <c r="A47" s="5" t="inlineStr">
        <is>
          <t>Renter share</t>
        </is>
      </c>
      <c r="B47" s="11" t="n">
        <v>0.434</v>
      </c>
      <c r="C47" s="11" t="n">
        <v>0.391</v>
      </c>
      <c r="D47" s="11" t="n">
        <v>0.391</v>
      </c>
      <c r="E47" s="11" t="n">
        <v>0.392</v>
      </c>
      <c r="F47" s="11" t="n">
        <v>0.334</v>
      </c>
      <c r="G47" s="11" t="n">
        <v>0.326</v>
      </c>
      <c r="H47" s="11" t="n">
        <v>0.348</v>
      </c>
    </row>
    <row r="48">
      <c r="A48" s="5" t="inlineStr">
        <is>
          <t>Rent-to-income at $1,457/mo (subject in-place rent)</t>
        </is>
      </c>
      <c r="B48" s="11" t="n">
        <v>0.1848874319251309</v>
      </c>
      <c r="C48" s="11" t="n">
        <v>0.1773212981744422</v>
      </c>
      <c r="D48" s="11" t="n">
        <v>0.165930017367537</v>
      </c>
      <c r="E48" s="11" t="n">
        <v>0.1540769332452082</v>
      </c>
      <c r="F48" s="11" t="n">
        <v>0.1478489704452243</v>
      </c>
      <c r="G48" s="11" t="n">
        <v>0.1614795932503948</v>
      </c>
      <c r="H48" s="11" t="n">
        <v>0.1540022901435744</v>
      </c>
      <c r="I48" s="2" t="inlineStr">
        <is>
          <t>Against 2024 average household income by ring; the rent is the uploaded roll's unit-weighted in-place rent.</t>
        </is>
      </c>
    </row>
    <row r="50">
      <c r="A50" s="4" t="inlineStr">
        <is>
          <t>Home value — ZIP 85204 vs Phoenix, AZ</t>
        </is>
      </c>
      <c r="B50" s="4" t="n"/>
      <c r="C50" s="4" t="n"/>
      <c r="D50" s="4" t="n"/>
      <c r="E50" s="4" t="n"/>
      <c r="F50" s="4" t="n"/>
      <c r="G50" s="4" t="n"/>
      <c r="H50" s="4" t="n"/>
    </row>
    <row r="51">
      <c r="A51" s="6" t="inlineStr">
        <is>
          <t>ZIP geography, not a drive ring — the only section here that does not share the columns above, so it is shown as its own three figures rather than stretched across ring headers it does not describe.</t>
        </is>
      </c>
    </row>
    <row r="52">
      <c r="A52" s="14" t="inlineStr"/>
      <c r="B52" s="14" t="inlineStr">
        <is>
          <t>Value</t>
        </is>
      </c>
    </row>
    <row r="53">
      <c r="A53" s="5" t="inlineStr">
        <is>
          <t>ZIP home value</t>
        </is>
      </c>
      <c r="B53" s="7" t="n">
        <v>390790.3248</v>
      </c>
    </row>
    <row r="54">
      <c r="A54" s="5" t="inlineStr">
        <is>
          <t>Metro home value</t>
        </is>
      </c>
      <c r="B54" s="7" t="n">
        <v>446248.25</v>
      </c>
    </row>
    <row r="55">
      <c r="A55" s="5" t="inlineStr">
        <is>
          <t>ZIP vs metro</t>
        </is>
      </c>
      <c r="B55" s="11" t="n">
        <v>-0.1242759499897198</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above is the opposite: residents. The two answer different questions and are not interchangeable.</t>
        </is>
      </c>
    </row>
    <row r="59">
      <c r="A59" s="14" t="inlineStr"/>
      <c r="B59" s="14" t="inlineStr">
        <is>
          <t>1 mi</t>
        </is>
      </c>
      <c r="C59" s="14" t="inlineStr">
        <is>
          <t>3 mi</t>
        </is>
      </c>
      <c r="D59" s="14" t="inlineStr">
        <is>
          <t>5 mi</t>
        </is>
      </c>
      <c r="E59" s="14" t="inlineStr">
        <is>
          <t>10 mi</t>
        </is>
      </c>
      <c r="F59" s="14" t="inlineStr">
        <is>
          <t>Phoenix MSA</t>
        </is>
      </c>
      <c r="G59" s="14" t="inlineStr">
        <is>
          <t>Arizona</t>
        </is>
      </c>
      <c r="H59" s="14" t="inlineStr">
        <is>
          <t>U.S.</t>
        </is>
      </c>
    </row>
    <row r="60">
      <c r="A60" s="5" t="inlineStr">
        <is>
          <t>Unemployment rate (residents, ACS)</t>
        </is>
      </c>
      <c r="B60" s="11" t="n">
        <v>0.052</v>
      </c>
      <c r="C60" s="11" t="n">
        <v>0.046</v>
      </c>
      <c r="D60" s="11" t="n">
        <v>0.045</v>
      </c>
      <c r="E60" s="11" t="n">
        <v>0.043</v>
      </c>
      <c r="F60" s="11" t="n">
        <v>0.047</v>
      </c>
      <c r="G60" s="11" t="n">
        <v>0.051</v>
      </c>
      <c r="H60" s="11" t="n">
        <v>0.052</v>
      </c>
    </row>
    <row r="61">
      <c r="A61" s="13" t="inlineStr">
        <is>
          <t>Jobs located inside the ring — LODES workplace counts</t>
        </is>
      </c>
    </row>
    <row r="62">
      <c r="A62" s="5" t="inlineStr">
        <is>
          <t xml:space="preserve">    2019</t>
        </is>
      </c>
      <c r="B62" s="7" t="n">
        <v>4140</v>
      </c>
      <c r="C62" s="7" t="n">
        <v>59139</v>
      </c>
      <c r="D62" s="7" t="n">
        <v>150089</v>
      </c>
      <c r="E62" s="7" t="n">
        <v>458614</v>
      </c>
      <c r="F62" s="12" t="n"/>
      <c r="G62" s="12" t="n"/>
      <c r="H62" s="12" t="n"/>
    </row>
    <row r="63">
      <c r="A63" s="5" t="inlineStr">
        <is>
          <t xml:space="preserve">    2020</t>
        </is>
      </c>
      <c r="B63" s="7" t="n">
        <v>4549</v>
      </c>
      <c r="C63" s="7" t="n">
        <v>58261</v>
      </c>
      <c r="D63" s="7" t="n">
        <v>150082</v>
      </c>
      <c r="E63" s="7" t="n">
        <v>455835</v>
      </c>
      <c r="F63" s="12" t="n"/>
      <c r="G63" s="12" t="n"/>
      <c r="H63" s="12" t="n"/>
    </row>
    <row r="64">
      <c r="A64" s="5" t="inlineStr">
        <is>
          <t xml:space="preserve">    2021</t>
        </is>
      </c>
      <c r="B64" s="7" t="n">
        <v>4552</v>
      </c>
      <c r="C64" s="7" t="n">
        <v>59079</v>
      </c>
      <c r="D64" s="7" t="n">
        <v>152118</v>
      </c>
      <c r="E64" s="7" t="n">
        <v>466392</v>
      </c>
      <c r="F64" s="12" t="n"/>
      <c r="G64" s="12" t="n"/>
      <c r="H64" s="12" t="n"/>
    </row>
    <row r="65">
      <c r="A65" s="5" t="inlineStr">
        <is>
          <t xml:space="preserve">    2022</t>
        </is>
      </c>
      <c r="B65" s="7" t="n">
        <v>4741</v>
      </c>
      <c r="C65" s="7" t="n">
        <v>63403</v>
      </c>
      <c r="D65" s="7" t="n">
        <v>162056</v>
      </c>
      <c r="E65" s="7" t="n">
        <v>501214</v>
      </c>
      <c r="F65" s="12" t="n"/>
      <c r="G65" s="12" t="n"/>
      <c r="H65" s="12" t="n"/>
    </row>
    <row r="66">
      <c r="A66" s="5" t="inlineStr">
        <is>
          <t xml:space="preserve">    2023  (latest)</t>
        </is>
      </c>
      <c r="B66" s="7" t="n">
        <v>5239</v>
      </c>
      <c r="C66" s="7" t="n">
        <v>65083</v>
      </c>
      <c r="D66" s="7" t="n">
        <v>165142</v>
      </c>
      <c r="E66" s="7" t="n">
        <v>516916</v>
      </c>
      <c r="F66" s="12" t="n"/>
      <c r="G66" s="12" t="n"/>
      <c r="H66" s="12" t="n"/>
    </row>
    <row r="67">
      <c r="A67" s="5" t="inlineStr">
        <is>
          <t xml:space="preserve">    Job growth 2019 to 2023</t>
        </is>
      </c>
      <c r="B67" s="11" t="n">
        <v>0.2654589371980676</v>
      </c>
      <c r="C67" s="11" t="n">
        <v>0.1005089703917887</v>
      </c>
      <c r="D67" s="11" t="n">
        <v>0.1002938256634396</v>
      </c>
      <c r="E67" s="11" t="n">
        <v>0.1271265159807595</v>
      </c>
      <c r="F67" s="12" t="n"/>
      <c r="G67" s="12" t="n"/>
      <c r="H67" s="12" t="n"/>
      <c r="I67" s="2" t="inlineStr">
        <is>
          <t>Already a fraction in the engine's output, unlike the rates above.</t>
        </is>
      </c>
    </row>
    <row r="68">
      <c r="A68" s="5" t="inlineStr">
        <is>
          <t xml:space="preserve">    Job CAGR (4-yr)</t>
        </is>
      </c>
      <c r="B68" s="11" t="n">
        <v>0.06062537773196808</v>
      </c>
      <c r="C68" s="11" t="n">
        <v>0.02423213297708893</v>
      </c>
      <c r="D68" s="11" t="n">
        <v>0.02418207107245318</v>
      </c>
      <c r="E68" s="11" t="n">
        <v>0.03036990821614882</v>
      </c>
      <c r="F68" s="12" t="n"/>
      <c r="G68" s="12" t="n"/>
      <c r="H68" s="12" t="n"/>
    </row>
    <row r="70">
      <c r="A70" s="13" t="inlineStr">
        <is>
          <t>Metro nonfarm employment and unemployment — Maricopa County, Arizona</t>
        </is>
      </c>
    </row>
    <row r="71">
      <c r="A71" s="14" t="inlineStr">
        <is>
          <t>Year</t>
        </is>
      </c>
      <c r="B71" s="14" t="inlineStr">
        <is>
          <t>Nonfarm jobs (000s)</t>
        </is>
      </c>
      <c r="C71" s="14" t="inlineStr">
        <is>
          <t>Job growth</t>
        </is>
      </c>
      <c r="D71" s="14" t="inlineStr">
        <is>
          <t>Unemployment</t>
        </is>
      </c>
    </row>
    <row r="72">
      <c r="A72" s="12" t="n">
        <v>2026</v>
      </c>
      <c r="B72" s="10" t="n">
        <v>2469.37</v>
      </c>
      <c r="C72" s="11" t="n">
        <v>0.002793919975309533</v>
      </c>
      <c r="D72" s="11" t="n">
        <v>0.0431</v>
      </c>
    </row>
    <row r="73">
      <c r="A73" s="12" t="n">
        <v>2025</v>
      </c>
      <c r="B73" s="10" t="n">
        <v>2462.49</v>
      </c>
      <c r="C73" s="11" t="n">
        <v>0.002626178726730766</v>
      </c>
      <c r="D73" s="11" t="n">
        <v>0.0381</v>
      </c>
    </row>
    <row r="74">
      <c r="A74" s="12" t="n">
        <v>2024</v>
      </c>
      <c r="B74" s="10" t="n">
        <v>2456.04</v>
      </c>
      <c r="C74" s="11" t="n">
        <v>0.02243406947942472</v>
      </c>
      <c r="D74" s="11" t="n">
        <v>0.0328</v>
      </c>
    </row>
    <row r="75">
      <c r="A75" s="12" t="n">
        <v>2023</v>
      </c>
      <c r="B75" s="10" t="n">
        <v>2402.15</v>
      </c>
      <c r="C75" s="11" t="n">
        <v>0.03166081866321946</v>
      </c>
      <c r="D75" s="11" t="n">
        <v>0.0326</v>
      </c>
    </row>
    <row r="76">
      <c r="A76" s="12" t="n">
        <v>2022</v>
      </c>
      <c r="B76" s="10" t="n">
        <v>2328.43</v>
      </c>
      <c r="C76" s="11" t="n">
        <v>0.05041323059710923</v>
      </c>
      <c r="D76" s="11" t="n">
        <v>0.0332</v>
      </c>
    </row>
    <row r="77">
      <c r="A77" s="12" t="n">
        <v>2021</v>
      </c>
      <c r="B77" s="10" t="n">
        <v>2216.68</v>
      </c>
      <c r="C77" s="11" t="n">
        <v>0.04558897751446889</v>
      </c>
      <c r="D77" s="11" t="n">
        <v>0.0462</v>
      </c>
    </row>
    <row r="78">
      <c r="A78" s="12" t="n">
        <v>2020</v>
      </c>
      <c r="B78" s="10" t="n">
        <v>2120.03</v>
      </c>
      <c r="C78" s="11" t="n">
        <v>-0.02628980328576602</v>
      </c>
      <c r="D78" s="11" t="n">
        <v>0.0728</v>
      </c>
    </row>
    <row r="79">
      <c r="A79" s="12" t="n">
        <v>2019</v>
      </c>
      <c r="B79" s="10" t="n">
        <v>2177.27</v>
      </c>
      <c r="C79" s="11" t="n">
        <v>0.03380213477170857</v>
      </c>
      <c r="D79" s="11" t="n">
        <v>0.0413</v>
      </c>
    </row>
    <row r="80">
      <c r="A80" s="12" t="n">
        <v>2018</v>
      </c>
      <c r="B80" s="10" t="n">
        <v>2106.08</v>
      </c>
      <c r="C80" s="11" t="n">
        <v>0.03344079531681654</v>
      </c>
      <c r="D80" s="11" t="n">
        <v>0.0415</v>
      </c>
    </row>
    <row r="81">
      <c r="A81" s="12" t="n">
        <v>2017</v>
      </c>
      <c r="B81" s="10" t="n">
        <v>2037.93</v>
      </c>
      <c r="C81" s="11" t="n">
        <v>0.03009517840264042</v>
      </c>
      <c r="D81" s="11" t="n">
        <v>0.0428</v>
      </c>
    </row>
    <row r="82">
      <c r="A82" s="12" t="n">
        <v>2016</v>
      </c>
      <c r="B82" s="10" t="n">
        <v>1978.39</v>
      </c>
      <c r="C82" s="12" t="n"/>
      <c r="D82" s="11" t="n">
        <v>0.0471</v>
      </c>
    </row>
    <row r="84">
      <c r="A84" s="4" t="inlineStr">
        <is>
          <t>Jobs by industry (2023)</t>
        </is>
      </c>
      <c r="B84" s="4" t="n"/>
      <c r="C84" s="4" t="n"/>
      <c r="D84" s="4" t="n"/>
      <c r="E84" s="4" t="n"/>
      <c r="F84" s="4" t="n"/>
      <c r="G84" s="4" t="n"/>
      <c r="H84" s="4" t="n"/>
    </row>
    <row r="85">
      <c r="A85" s="6" t="inlineStr">
        <is>
          <t>Share of jobs by sector, sorted by the metro's own concentration. Ring, MSA and state shares come from LODES workplace counts; the U.S. column is QCEW — a different survey, so read it as a benchmark rather than the same measurement. The location quotient on each row is the metro share over the national share.</t>
        </is>
      </c>
    </row>
    <row r="86">
      <c r="A86" s="14" t="inlineStr"/>
      <c r="B86" s="14" t="inlineStr">
        <is>
          <t>1 mi</t>
        </is>
      </c>
      <c r="C86" s="14" t="inlineStr">
        <is>
          <t>3 mi</t>
        </is>
      </c>
      <c r="D86" s="14" t="inlineStr">
        <is>
          <t>5 mi</t>
        </is>
      </c>
      <c r="E86" s="14" t="inlineStr">
        <is>
          <t>10 mi</t>
        </is>
      </c>
      <c r="F86" s="14" t="inlineStr">
        <is>
          <t>Phoenix MSA</t>
        </is>
      </c>
      <c r="G86" s="14" t="inlineStr">
        <is>
          <t>Arizona</t>
        </is>
      </c>
      <c r="H86" s="14" t="inlineStr">
        <is>
          <t>U.S.</t>
        </is>
      </c>
    </row>
    <row r="87">
      <c r="A87" s="5" t="inlineStr">
        <is>
          <t>Health Care/Social Asst</t>
        </is>
      </c>
      <c r="B87" s="11" t="n">
        <v>0.1675892345867532</v>
      </c>
      <c r="C87" s="11" t="n">
        <v>0.1324022003011585</v>
      </c>
      <c r="D87" s="11" t="n">
        <v>0.128294871717239</v>
      </c>
      <c r="E87" s="11" t="n">
        <v>0.1575223875399726</v>
      </c>
      <c r="F87" s="11" t="n">
        <v>0.1439230188830762</v>
      </c>
      <c r="G87" s="11" t="n">
        <v>0.1480747084992491</v>
      </c>
      <c r="H87" s="11" t="n">
        <v>0.1524112221376376</v>
      </c>
      <c r="I87" s="2" t="inlineStr">
        <is>
          <t>Location quotient vs U.S.: 0.94x — less concentrated here.</t>
        </is>
      </c>
    </row>
    <row r="88">
      <c r="A88" s="5" t="inlineStr">
        <is>
          <t>Retail Trade</t>
        </is>
      </c>
      <c r="B88" s="11" t="n">
        <v>0.1402939492269517</v>
      </c>
      <c r="C88" s="11" t="n">
        <v>0.1312959036292677</v>
      </c>
      <c r="D88" s="11" t="n">
        <v>0.1295604415567115</v>
      </c>
      <c r="E88" s="11" t="n">
        <v>0.1260357078602561</v>
      </c>
      <c r="F88" s="11" t="n">
        <v>0.1090536545703669</v>
      </c>
      <c r="G88" s="11" t="n">
        <v>0.1100206596769526</v>
      </c>
      <c r="H88" s="11" t="n">
        <v>0.1019921721752688</v>
      </c>
      <c r="I88" s="2" t="inlineStr">
        <is>
          <t>Location quotient vs U.S.: 1.07x — more concentrated here.</t>
        </is>
      </c>
    </row>
    <row r="89">
      <c r="A89" s="5" t="inlineStr">
        <is>
          <t>Accommodation/Food Svcs</t>
        </is>
      </c>
      <c r="B89" s="11" t="n">
        <v>0.1093720175606032</v>
      </c>
      <c r="C89" s="11" t="n">
        <v>0.09160751052518361</v>
      </c>
      <c r="D89" s="11" t="n">
        <v>0.09612275421907074</v>
      </c>
      <c r="E89" s="11" t="n">
        <v>0.0974934080326242</v>
      </c>
      <c r="F89" s="11" t="n">
        <v>0.09153364975214603</v>
      </c>
      <c r="G89" s="11" t="n">
        <v>0.09799831322286184</v>
      </c>
      <c r="H89" s="11" t="n">
        <v>0.09210003364899073</v>
      </c>
      <c r="I89" s="2" t="inlineStr">
        <is>
          <t>Location quotient vs U.S.: 0.99x — less concentrated here.</t>
        </is>
      </c>
    </row>
    <row r="90">
      <c r="A90" s="5" t="inlineStr">
        <is>
          <t>Admin/Support/Waste</t>
        </is>
      </c>
      <c r="B90" s="11" t="n">
        <v>0.09200229051345676</v>
      </c>
      <c r="C90" s="11" t="n">
        <v>0.1102148059371255</v>
      </c>
      <c r="D90" s="11" t="n">
        <v>0.09007950685163767</v>
      </c>
      <c r="E90" s="11" t="n">
        <v>0.07061675278623067</v>
      </c>
      <c r="F90" s="11" t="n">
        <v>0.08654896600644772</v>
      </c>
      <c r="G90" s="11" t="n">
        <v>0.08053357937738248</v>
      </c>
      <c r="H90" s="11" t="n">
        <v>0.06170694540515537</v>
      </c>
      <c r="I90" s="2" t="inlineStr">
        <is>
          <t>Location quotient vs U.S.: 1.40x — more concentrated here.</t>
        </is>
      </c>
    </row>
    <row r="91">
      <c r="A91" s="5" t="inlineStr">
        <is>
          <t>Construction</t>
        </is>
      </c>
      <c r="B91" s="11" t="n">
        <v>0.03397594960870395</v>
      </c>
      <c r="C91" s="11" t="n">
        <v>0.1437571064195937</v>
      </c>
      <c r="D91" s="11" t="n">
        <v>0.1065198040486124</v>
      </c>
      <c r="E91" s="11" t="n">
        <v>0.07423822393150158</v>
      </c>
      <c r="F91" s="11" t="n">
        <v>0.07168567465967132</v>
      </c>
      <c r="G91" s="11" t="n">
        <v>0.0692629280579044</v>
      </c>
      <c r="H91" s="11" t="n">
        <v>0.0531750429082045</v>
      </c>
      <c r="I91" s="2" t="inlineStr">
        <is>
          <t>Location quotient vs U.S.: 1.35x — more concentrated here.</t>
        </is>
      </c>
    </row>
    <row r="92">
      <c r="A92" s="5" t="inlineStr">
        <is>
          <t>Educational Services</t>
        </is>
      </c>
      <c r="B92" s="11" t="n">
        <v>0.05630845581217789</v>
      </c>
      <c r="C92" s="11" t="n">
        <v>0.09185335423004824</v>
      </c>
      <c r="D92" s="11" t="n">
        <v>0.1103528457155314</v>
      </c>
      <c r="E92" s="11" t="n">
        <v>0.09778359001541834</v>
      </c>
      <c r="F92" s="11" t="n">
        <v>0.0692937123890178</v>
      </c>
      <c r="G92" s="11" t="n">
        <v>0.07805244418719343</v>
      </c>
      <c r="H92" s="11" t="n">
        <v>0.08463384936674581</v>
      </c>
      <c r="I92" s="2" t="inlineStr">
        <is>
          <t>Location quotient vs U.S.: 0.82x — less concentrated here.</t>
        </is>
      </c>
    </row>
    <row r="93">
      <c r="A93" s="5" t="inlineStr">
        <is>
          <t>Finance/Insurance</t>
        </is>
      </c>
      <c r="B93" s="11" t="n">
        <v>0.01355220461920214</v>
      </c>
      <c r="C93" s="11" t="n">
        <v>0.02564457146369196</v>
      </c>
      <c r="D93" s="11" t="n">
        <v>0.02846623835100489</v>
      </c>
      <c r="E93" s="11" t="n">
        <v>0.06430626193373404</v>
      </c>
      <c r="F93" s="11" t="n">
        <v>0.06699836548547758</v>
      </c>
      <c r="G93" s="11" t="n">
        <v>0.05584002806837911</v>
      </c>
      <c r="H93" s="11" t="n">
        <v>0.04139724841428747</v>
      </c>
      <c r="I93" s="2" t="inlineStr">
        <is>
          <t>Location quotient vs U.S.: 1.62x — more concentrated here.</t>
        </is>
      </c>
    </row>
    <row r="94">
      <c r="A94" s="5" t="inlineStr">
        <is>
          <t>Manufacturing</t>
        </is>
      </c>
      <c r="B94" s="11" t="n">
        <v>0.005344531399121969</v>
      </c>
      <c r="C94" s="11" t="n">
        <v>0.03838234842199072</v>
      </c>
      <c r="D94" s="11" t="n">
        <v>0.04546362849167086</v>
      </c>
      <c r="E94" s="11" t="n">
        <v>0.06499302595968018</v>
      </c>
      <c r="F94" s="11" t="n">
        <v>0.06180957654864814</v>
      </c>
      <c r="G94" s="11" t="n">
        <v>0.06178450068945185</v>
      </c>
      <c r="H94" s="11" t="n">
        <v>0.08451882031580928</v>
      </c>
      <c r="I94" s="2" t="inlineStr">
        <is>
          <t>Location quotient vs U.S.: 0.73x — less concentrated here.</t>
        </is>
      </c>
    </row>
    <row r="95">
      <c r="A95" s="5" t="inlineStr">
        <is>
          <t>Professional/Scientific/Tech</t>
        </is>
      </c>
      <c r="B95" s="11" t="n">
        <v>0.03531208245848445</v>
      </c>
      <c r="C95" s="11" t="n">
        <v>0.06550198211487047</v>
      </c>
      <c r="D95" s="11" t="n">
        <v>0.05942728423245309</v>
      </c>
      <c r="E95" s="11" t="n">
        <v>0.06130384568509065</v>
      </c>
      <c r="F95" s="11" t="n">
        <v>0.06005544300027939</v>
      </c>
      <c r="G95" s="11" t="n">
        <v>0.05671111569578283</v>
      </c>
      <c r="H95" s="11" t="n">
        <v>0.07101058481218332</v>
      </c>
      <c r="I95" s="2" t="inlineStr">
        <is>
          <t>Location quotient vs U.S.: 0.85x — less concentrated here.</t>
        </is>
      </c>
    </row>
    <row r="96">
      <c r="A96" s="5" t="inlineStr">
        <is>
          <t>Transportation/Warehousing</t>
        </is>
      </c>
      <c r="B96" s="11" t="n">
        <v>0.01068906279824394</v>
      </c>
      <c r="C96" s="11" t="n">
        <v>0.006038536000737531</v>
      </c>
      <c r="D96" s="11" t="n">
        <v>0.01906832260525726</v>
      </c>
      <c r="E96" s="11" t="n">
        <v>0.02301916942178338</v>
      </c>
      <c r="F96" s="11" t="n">
        <v>0.0473268911935302</v>
      </c>
      <c r="G96" s="11" t="n">
        <v>0.04326179016785311</v>
      </c>
      <c r="H96" s="11" t="n">
        <v>0.04840196213219566</v>
      </c>
      <c r="I96" s="2" t="inlineStr">
        <is>
          <t>Location quotient vs U.S.: 0.98x — less concentrated here.</t>
        </is>
      </c>
    </row>
    <row r="97">
      <c r="A97" s="5" t="inlineStr">
        <is>
          <t>Wholesale Trade</t>
        </is>
      </c>
      <c r="B97" s="11" t="n">
        <v>0.007825920977285742</v>
      </c>
      <c r="C97" s="11" t="n">
        <v>0.03606219845733075</v>
      </c>
      <c r="D97" s="11" t="n">
        <v>0.03811847913626373</v>
      </c>
      <c r="E97" s="11" t="n">
        <v>0.03247329842121656</v>
      </c>
      <c r="F97" s="11" t="n">
        <v>0.04109248140049621</v>
      </c>
      <c r="G97" s="11" t="n">
        <v>0.03708044284108286</v>
      </c>
      <c r="H97" s="11" t="n">
        <v>0.03992451539947575</v>
      </c>
      <c r="I97" s="2" t="inlineStr">
        <is>
          <t>Location quotient vs U.S.: 1.03x — more concentrated here.</t>
        </is>
      </c>
    </row>
    <row r="98">
      <c r="A98" s="5" t="inlineStr">
        <is>
          <t>Public Administration</t>
        </is>
      </c>
      <c r="B98" s="11" t="n">
        <v>0</v>
      </c>
      <c r="C98" s="11" t="n">
        <v>0.001859193018038782</v>
      </c>
      <c r="D98" s="11" t="n">
        <v>0.02761848821930085</v>
      </c>
      <c r="E98" s="11" t="n">
        <v>0.02183329238543132</v>
      </c>
      <c r="F98" s="11" t="n">
        <v>0.03285591679200175</v>
      </c>
      <c r="G98" s="11" t="n">
        <v>0.04120792091186574</v>
      </c>
      <c r="H98" s="11" t="n">
        <v>0.04966983338636385</v>
      </c>
      <c r="I98" s="2" t="inlineStr">
        <is>
          <t>Location quotient vs U.S.: 0.66x — less concentrated here.</t>
        </is>
      </c>
    </row>
    <row r="99">
      <c r="A99" s="5" t="inlineStr">
        <is>
          <t>Other Services</t>
        </is>
      </c>
      <c r="B99" s="11" t="n">
        <v>0.01546096583317427</v>
      </c>
      <c r="C99" s="11" t="n">
        <v>0.02945514888909376</v>
      </c>
      <c r="D99" s="11" t="n">
        <v>0.03031917792458657</v>
      </c>
      <c r="E99" s="11" t="n">
        <v>0.02663677147395037</v>
      </c>
      <c r="F99" s="11" t="n">
        <v>0.02745633069056147</v>
      </c>
      <c r="G99" s="11" t="n">
        <v>0.02813810432102126</v>
      </c>
      <c r="H99" s="11" t="n">
        <v>0.03015265325357227</v>
      </c>
      <c r="I99" s="2" t="inlineStr">
        <is>
          <t>Location quotient vs U.S.: 0.91x — less concentrated here.</t>
        </is>
      </c>
    </row>
    <row r="100">
      <c r="A100" s="5" t="inlineStr">
        <is>
          <t>Arts/Entertainment/Rec</t>
        </is>
      </c>
      <c r="B100" s="11" t="n">
        <v>0.2744798625691926</v>
      </c>
      <c r="C100" s="11" t="n">
        <v>0.03211333394794259</v>
      </c>
      <c r="D100" s="11" t="n">
        <v>0.0287326741066833</v>
      </c>
      <c r="E100" s="11" t="n">
        <v>0.02107301559051066</v>
      </c>
      <c r="F100" s="11" t="n">
        <v>0.02090656164729619</v>
      </c>
      <c r="G100" s="11" t="n">
        <v>0.02117990984115704</v>
      </c>
      <c r="H100" s="11" t="n">
        <v>0.01844252444674844</v>
      </c>
      <c r="I100" s="2" t="inlineStr">
        <is>
          <t>Location quotient vs U.S.: 1.13x — more concentrated here.</t>
        </is>
      </c>
    </row>
    <row r="101">
      <c r="A101" s="5" t="inlineStr">
        <is>
          <t>Real Estate/Rental</t>
        </is>
      </c>
      <c r="B101" s="11" t="n">
        <v>0.03340332124451231</v>
      </c>
      <c r="C101" s="11" t="n">
        <v>0.03411081404996773</v>
      </c>
      <c r="D101" s="11" t="n">
        <v>0.02407610374039469</v>
      </c>
      <c r="E101" s="11" t="n">
        <v>0.02037464428525276</v>
      </c>
      <c r="F101" s="11" t="n">
        <v>0.02084382439592392</v>
      </c>
      <c r="G101" s="11" t="n">
        <v>0.01961125167587262</v>
      </c>
      <c r="H101" s="11" t="n">
        <v>0.01586685774361</v>
      </c>
      <c r="I101" s="2" t="inlineStr">
        <is>
          <t>Location quotient vs U.S.: 1.31x — more concentrated here.</t>
        </is>
      </c>
    </row>
    <row r="102">
      <c r="A102" s="5" t="inlineStr">
        <is>
          <t>Information</t>
        </is>
      </c>
      <c r="B102" s="11" t="n">
        <v>0.002672265699560985</v>
      </c>
      <c r="C102" s="11" t="n">
        <v>0.01090931440336806</v>
      </c>
      <c r="D102" s="11" t="n">
        <v>0.01293424486657018</v>
      </c>
      <c r="E102" s="11" t="n">
        <v>0.01705883149519169</v>
      </c>
      <c r="F102" s="11" t="n">
        <v>0.01906250470529385</v>
      </c>
      <c r="G102" s="11" t="n">
        <v>0.01736157873170788</v>
      </c>
      <c r="H102" s="11" t="n">
        <v>0.02037764401856688</v>
      </c>
      <c r="I102" s="2" t="inlineStr">
        <is>
          <t>Location quotient vs U.S.: 0.94x — less concentrated here.</t>
        </is>
      </c>
    </row>
    <row r="103">
      <c r="A103" s="5" t="inlineStr">
        <is>
          <t>Mgmt of Companies</t>
        </is>
      </c>
      <c r="B103" s="11" t="n">
        <v>0.0005726283641916397</v>
      </c>
      <c r="C103" s="11" t="n">
        <v>0.01676346762545712</v>
      </c>
      <c r="D103" s="11" t="n">
        <v>0.01896538151783606</v>
      </c>
      <c r="E103" s="11" t="n">
        <v>0.01917522542303697</v>
      </c>
      <c r="F103" s="11" t="n">
        <v>0.01809509628913341</v>
      </c>
      <c r="G103" s="11" t="n">
        <v>0.01520137056214125</v>
      </c>
      <c r="H103" s="11" t="n">
        <v>0.0166872404072684</v>
      </c>
      <c r="I103" s="2" t="inlineStr">
        <is>
          <t>Location quotient vs U.S.: 1.08x — more concentrated here.</t>
        </is>
      </c>
    </row>
    <row r="104">
      <c r="A104" s="5" t="inlineStr">
        <is>
          <t>Utilities</t>
        </is>
      </c>
      <c r="B104" s="11" t="n">
        <v>0.001145256728383279</v>
      </c>
      <c r="C104" s="11" t="n">
        <v>0.0007221658830398574</v>
      </c>
      <c r="D104" s="11" t="n">
        <v>0.003772488086082971</v>
      </c>
      <c r="E104" s="11" t="n">
        <v>0.002512975970997278</v>
      </c>
      <c r="F104" s="11" t="n">
        <v>0.006769767671410718</v>
      </c>
      <c r="G104" s="11" t="n">
        <v>0.006825111647899759</v>
      </c>
      <c r="H104" s="11" t="n">
        <v>0.0054838649167028</v>
      </c>
      <c r="I104" s="2" t="inlineStr">
        <is>
          <t>Location quotient vs U.S.: 1.23x — more concentrated here.</t>
        </is>
      </c>
    </row>
    <row r="105">
      <c r="A105" s="5" t="inlineStr">
        <is>
          <t>Agriculture/Forestry/Fishing</t>
        </is>
      </c>
      <c r="B105" s="11" t="n">
        <v>0</v>
      </c>
      <c r="C105" s="11" t="n">
        <v>0.0006299744937156203</v>
      </c>
      <c r="D105" s="11" t="n">
        <v>0.001725777053826078</v>
      </c>
      <c r="E105" s="11" t="n">
        <v>0.001151055198416767</v>
      </c>
      <c r="F105" s="11" t="n">
        <v>0.003239751660864168</v>
      </c>
      <c r="G105" s="11" t="n">
        <v>0.007704795534784445</v>
      </c>
      <c r="H105" s="11" t="n">
        <v>0.008224135502638645</v>
      </c>
      <c r="I105" s="2" t="inlineStr">
        <is>
          <t>Location quotient vs U.S.: 0.39x — less concentrated here.</t>
        </is>
      </c>
    </row>
    <row r="106">
      <c r="A106" s="5" t="inlineStr">
        <is>
          <t>Mining/Oil &amp; Gas</t>
        </is>
      </c>
      <c r="B106" s="11" t="n">
        <v>0</v>
      </c>
      <c r="C106" s="11" t="n">
        <v>0.0006760701883777388</v>
      </c>
      <c r="D106" s="11" t="n">
        <v>0.0003814875592668172</v>
      </c>
      <c r="E106" s="11" t="n">
        <v>0.0003985165897039564</v>
      </c>
      <c r="F106" s="11" t="n">
        <v>0.00144881225835702</v>
      </c>
      <c r="G106" s="11" t="n">
        <v>0.004149446289456433</v>
      </c>
      <c r="H106" s="11" t="n">
        <v>0.003822849608574414</v>
      </c>
      <c r="I106" s="2" t="inlineStr">
        <is>
          <t>Location quotient vs U.S.: 0.38x — less concentrated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2"/>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Southern Avenue Sample — as of 2026-08-31</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2</v>
      </c>
      <c r="D8" s="7" t="n">
        <v>72</v>
      </c>
    </row>
    <row r="9">
      <c r="A9" s="5" t="inlineStr">
        <is>
          <t>1 mi</t>
        </is>
      </c>
      <c r="B9" s="5" t="inlineStr">
        <is>
          <t>Permitted</t>
        </is>
      </c>
      <c r="C9" s="7" t="n">
        <v>1</v>
      </c>
      <c r="D9" s="7" t="n">
        <v>36</v>
      </c>
    </row>
    <row r="10">
      <c r="A10" s="5" t="inlineStr">
        <is>
          <t>3 mi</t>
        </is>
      </c>
      <c r="B10" s="5" t="inlineStr">
        <is>
          <t>Entitlement</t>
        </is>
      </c>
      <c r="C10" s="7" t="n">
        <v>20</v>
      </c>
      <c r="D10" s="7" t="n">
        <v>621</v>
      </c>
    </row>
    <row r="11">
      <c r="A11" s="5" t="inlineStr">
        <is>
          <t>3 mi</t>
        </is>
      </c>
      <c r="B11" s="5" t="inlineStr">
        <is>
          <t>Permitted</t>
        </is>
      </c>
      <c r="C11" s="7" t="n">
        <v>12</v>
      </c>
      <c r="D11" s="7" t="n">
        <v>558</v>
      </c>
    </row>
    <row r="12">
      <c r="A12" s="5" t="inlineStr">
        <is>
          <t>5 mi</t>
        </is>
      </c>
      <c r="B12" s="5" t="inlineStr">
        <is>
          <t>Entitlement</t>
        </is>
      </c>
      <c r="C12" s="7" t="n">
        <v>61</v>
      </c>
      <c r="D12" s="7" t="n">
        <v>5152</v>
      </c>
    </row>
    <row r="13">
      <c r="A13" s="5" t="inlineStr">
        <is>
          <t>5 mi</t>
        </is>
      </c>
      <c r="B13" s="5" t="inlineStr">
        <is>
          <t>Permitted</t>
        </is>
      </c>
      <c r="C13" s="7" t="n">
        <v>41</v>
      </c>
      <c r="D13" s="7" t="n">
        <v>3355</v>
      </c>
    </row>
    <row r="14">
      <c r="A14" s="5" t="inlineStr">
        <is>
          <t>10 mi</t>
        </is>
      </c>
      <c r="B14" s="5" t="inlineStr">
        <is>
          <t>Entitlement</t>
        </is>
      </c>
      <c r="C14" s="7" t="n">
        <v>237</v>
      </c>
      <c r="D14" s="7" t="n">
        <v>38442</v>
      </c>
    </row>
    <row r="15">
      <c r="A15" s="5" t="inlineStr">
        <is>
          <t>10 mi</t>
        </is>
      </c>
      <c r="B15" s="5" t="inlineStr">
        <is>
          <t>Permitted</t>
        </is>
      </c>
      <c r="C15" s="7" t="n">
        <v>186</v>
      </c>
      <c r="D15" s="7" t="n">
        <v>15187</v>
      </c>
    </row>
    <row r="16"/>
    <row r="17">
      <c r="A17" s="4" t="inlineStr">
        <is>
          <t>Ring totals</t>
        </is>
      </c>
      <c r="B17" s="4" t="n"/>
      <c r="C17" s="4" t="n"/>
      <c r="D17" s="4" t="n"/>
    </row>
    <row r="18">
      <c r="A18" s="14" t="inlineStr">
        <is>
          <t>Ring</t>
        </is>
      </c>
      <c r="B18" s="14" t="inlineStr">
        <is>
          <t>Pipeline units</t>
        </is>
      </c>
      <c r="C18" s="14" t="inlineStr">
        <is>
          <t>Existing stock</t>
        </is>
      </c>
      <c r="D18" s="14" t="inlineStr">
        <is>
          <t>Units as % of stock</t>
        </is>
      </c>
    </row>
    <row r="19">
      <c r="A19" s="5" t="inlineStr">
        <is>
          <t>1 mi</t>
        </is>
      </c>
      <c r="B19" s="7">
        <f>SUMIF($A$8:$A$15,$A19,$D$8:$D$15)</f>
        <v/>
      </c>
      <c r="C19" s="5" t="inlineStr">
        <is>
          <t>MISSING</t>
        </is>
      </c>
      <c r="D19" s="11">
        <f>IFERROR(B19/C19,"")</f>
        <v/>
      </c>
    </row>
    <row r="20">
      <c r="A20" s="5" t="inlineStr">
        <is>
          <t>3 mi</t>
        </is>
      </c>
      <c r="B20" s="7">
        <f>SUMIF($A$8:$A$15,$A20,$D$8:$D$15)</f>
        <v/>
      </c>
      <c r="C20" s="5" t="inlineStr">
        <is>
          <t>MISSING</t>
        </is>
      </c>
      <c r="D20" s="11">
        <f>IFERROR(B20/C20,"")</f>
        <v/>
      </c>
    </row>
    <row r="21">
      <c r="A21" s="5" t="inlineStr">
        <is>
          <t>5 mi</t>
        </is>
      </c>
      <c r="B21" s="7">
        <f>SUMIF($A$8:$A$15,$A21,$D$8:$D$15)</f>
        <v/>
      </c>
      <c r="C21" s="5" t="inlineStr">
        <is>
          <t>MISSING</t>
        </is>
      </c>
      <c r="D21" s="11">
        <f>IFERROR(B21/C21,"")</f>
        <v/>
      </c>
    </row>
    <row r="22">
      <c r="A22" s="5" t="inlineStr">
        <is>
          <t>10 mi</t>
        </is>
      </c>
      <c r="B22" s="7">
        <f>SUMIF($A$8:$A$15,$A22,$D$8:$D$15)</f>
        <v/>
      </c>
      <c r="C22" s="5" t="inlineStr">
        <is>
          <t>MISSING</t>
        </is>
      </c>
      <c r="D22" s="11">
        <f>IFERROR(B22/C22,"")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38" customWidth="1" min="1" max="1"/>
    <col width="26" customWidth="1" min="2" max="2"/>
    <col width="110" customWidth="1" min="3" max="3"/>
  </cols>
  <sheetData>
    <row r="1">
      <c r="A1" s="1" t="inlineStr">
        <is>
          <t>Notes and disclosures</t>
        </is>
      </c>
    </row>
    <row r="2">
      <c r="A2" s="2" t="inlineStr">
        <is>
          <t>Southern Avenue Sample — as of 2026-08-31</t>
        </is>
      </c>
    </row>
    <row r="3">
      <c r="A3" s="2" t="inlineStr">
        <is>
          <t>Every output here is the result of decisions someone made. These are those decisions, including the ones that make the numbers look worse.</t>
        </is>
      </c>
    </row>
    <row r="4">
      <c r="A4" s="3" t="n"/>
      <c r="B4" s="3" t="n"/>
      <c r="C4" s="3" t="n"/>
      <c r="D4" s="3" t="n"/>
      <c r="E4" s="3" t="n"/>
      <c r="F4" s="3" t="n"/>
      <c r="G4" s="3" t="n"/>
      <c r="H4" s="3" t="n"/>
    </row>
    <row r="5">
      <c r="A5" s="14" t="inlineStr">
        <is>
          <t>Topic</t>
        </is>
      </c>
      <c r="B5" s="14" t="inlineStr">
        <is>
          <t>Applies to</t>
        </is>
      </c>
      <c r="C5" s="14" t="inlineStr">
        <is>
          <t>Note</t>
        </is>
      </c>
    </row>
    <row r="6">
      <c r="A6" s="5" t="inlineStr">
        <is>
          <t>Pricing is illustrative</t>
        </is>
      </c>
      <c r="B6" s="5" t="inlineStr">
        <is>
          <t>Deal Summary — Pricing</t>
        </is>
      </c>
      <c r="C6" s="22" t="inlineStr">
        <is>
          <t>Every price, per-unit figure and cap rate in this set is illustrative. The per-unit price is a round number chosen to sit inside the band a real per-unit sale price occupies, so the cap-rate arithmetic is realistic. It is not a quote, an offer, a broker's guidance, or a valuation. Cap rates move inversely with the price, so read them as a demonstration of the mechanics rather than a view on the asset.</t>
        </is>
      </c>
    </row>
    <row r="7">
      <c r="A7" s="5" t="inlineStr">
        <is>
          <t>Licensed data is excluded by design, not by omission</t>
        </is>
      </c>
      <c r="B7" s="5" t="inlineStr">
        <is>
          <t>Rent Comps</t>
        </is>
      </c>
      <c r="C7" s="22" t="inlineStr">
        <is>
          <t>No subscription or licensed market-data feed appears anywhere in this set. Comps come only from an operator's own weekly scrape of public leasing pages. That is a deliberate constraint, not a gap: licensed data cannot travel outside the licence, so a portfolio piece built on it could not be shown at all. The cost is coverage, and the coverage is measured and stated rather than assumed.</t>
        </is>
      </c>
    </row>
    <row r="8">
      <c r="A8" s="5" t="inlineStr">
        <is>
          <t>Comp radius is stated, and coverage inside it is measured</t>
        </is>
      </c>
      <c r="B8" s="5" t="inlineStr">
        <is>
          <t>Rent Comps</t>
        </is>
      </c>
      <c r="C8" s="22" t="inlineStr">
        <is>
          <t>The comp block states the radius it searched and how many tracked communities inside it carry live rents; that sentence is counted from the operator's own scrape, never written by hand. The detail tiers are the closest same-product communities within that radius, so a wide radius adds nearby candidates without letting a distant one outrank a close one. A community the scrape tracks but could not quote is listed nearby with the reason rather than dropped.</t>
        </is>
      </c>
    </row>
    <row r="9">
      <c r="A9" s="5" t="inlineStr">
        <is>
          <t>Comps are matched on vintage</t>
        </is>
      </c>
      <c r="B9" s="5" t="inlineStr">
        <is>
          <t>Rent Comps — tiers</t>
        </is>
      </c>
      <c r="C9" s="22" t="inlineStr">
        <is>
          <t>The detailed tiers hold only communities within ten years of the subject's year built. Widening that range changes which communities are in the set, and a set that includes materially newer product will generally report a different rent — how much, and in which direction, is a property of the particular submarket and date, not a rule. Where this output set has measured the difference between two otherwise-identical comp sets on its own subject, the figures appear in the note below.</t>
        </is>
      </c>
    </row>
    <row r="10">
      <c r="A10" s="5" t="inlineStr">
        <is>
          <t>Year built comes from a free-text note, where it exists at all</t>
        </is>
      </c>
      <c r="B10" s="5" t="inlineStr">
        <is>
          <t>Rent Comps — tiers</t>
        </is>
      </c>
      <c r="C10" s="22" t="inlineStr">
        <is>
          <t>The rent tracker has no year-built column. Where a vintage appears here it was parsed out of a free-text note on the community record, and every row carries that as its source. A community with no such note keeps its place in the comp set on distance and product, shows a dash for the year, and the tier header says how many rows the vintage filter could not be applied to. Inventing a year would fabricate the evidence the filter runs on; dropping the community would hide the closest comps for want of a field the source never had.</t>
        </is>
      </c>
    </row>
    <row r="11">
      <c r="A11" s="5" t="inlineStr">
        <is>
          <t>Market rent is never a blend of new and renewal</t>
        </is>
      </c>
      <c r="B11" s="5" t="inlineStr">
        <is>
          <t>Rent Roll — Summary</t>
        </is>
      </c>
      <c r="C11" s="22" t="inlineStr">
        <is>
          <t>Market rent for the model is the new-lease average where a plan has new leases inside the lookback window, and in-place rent where it does not. It is never the average of new and renewal leases together. A blended figure reads as market rent and is not one: renewals are priced off the existing rent, so blending them in drags the number toward where rents used to be and understates the gap the underwriting is trying to measure. On an asset whose in-place rents sit above what the market is currently signing, the rule produces a market rent BELOW in-place — which is the correct and uncomfortable answer, and the one a blend would hide.</t>
        </is>
      </c>
    </row>
    <row r="12">
      <c r="A12" s="5" t="inlineStr">
        <is>
          <t>Estimated values are not published as facts</t>
        </is>
      </c>
      <c r="B12" s="5" t="inlineStr">
        <is>
          <t>throughout</t>
        </is>
      </c>
      <c r="C12" s="22" t="inlineStr">
        <is>
          <t>Where a figure is derived rather than read, the audit trail says so and names the inputs. Where a figure is unknown, the cell shows a visible hole rather than a plausible-looking number. A blank that reads as a zero is the most expensive kind of missing data, because nothing downstream flags it.</t>
        </is>
      </c>
    </row>
    <row r="13">
      <c r="A13" s="5" t="inlineStr">
        <is>
          <t>What the public demo leaves to the internal pipeline</t>
        </is>
      </c>
      <c r="B13" s="5" t="inlineStr">
        <is>
          <t>throughout</t>
        </is>
      </c>
      <c r="C13" s="22" t="inlineStr">
        <is>
          <t>This demo is a deliberately reduced copy of the operator's pipeline. A licensed data source, a county-portal login, a school-rating lookup, a web valuation or a lease trade-out report is not something a public page should reach or ask for, so the values those produce — the assessor's parcel and bill, school ratings, a fair market value, the new-versus-renewal trade-out — read 'Internal pipeline only' with the reason wherever they appear. The field manifest lists every one of them. Everything else on these tabs is produced the same way for the sample and for an uploaded deal, from the same sources.</t>
        </is>
      </c>
    </row>
    <row r="14">
      <c r="A14" s="5" t="inlineStr">
        <is>
          <t>Supply coverage is an area of ongoing work</t>
        </is>
      </c>
      <c r="B14" s="5" t="inlineStr">
        <is>
          <t>Supply</t>
        </is>
      </c>
      <c r="C14" s="22" t="inlineStr">
        <is>
          <t>The supply section is real and unmodified — the rings, stages and unit counts come from a public permit and entitlement pipeline, and a zero is a genuine zero rather than a gap left blank. Coverage of that pipeline is an area of ongoing work: a ring showing no active supply means nothing was matched in the sources covered so far, which is a weaker statement than nothing being built. This section will be expanded; read it as a floor on competing supply, not a census of it.</t>
        </is>
      </c>
    </row>
    <row r="15">
      <c r="A15" s="5" t="inlineStr">
        <is>
          <t>Checks degrade to NOT CHECKED rather than passing quietly</t>
        </is>
      </c>
      <c r="B15" s="5" t="inlineStr">
        <is>
          <t>Error Checks &amp; Pricing</t>
        </is>
      </c>
      <c r="C15" s="22" t="inlineStr">
        <is>
          <t>Every cross-tie on the checks tab reports OK, FAIL, or NOT CHECKED. A check missing one of its inputs reports NOT CHECKED and claims no difference — it never reports OK. A green result that only means 'this check could not run' is worse than a red one, because it buys confidence it has not earned.</t>
        </is>
      </c>
    </row>
    <row r="16">
      <c r="A16" s="5" t="inlineStr">
        <is>
          <t>What vintage-matching changed on this deal</t>
        </is>
      </c>
      <c r="B16" s="5" t="inlineStr">
        <is>
          <t>Rent Comps — tiers</t>
        </is>
      </c>
      <c r="C16" s="22" t="inlineStr">
        <is>
          <t>This subject was built 1981. Two comp sets were selected by identical criteria — same candidate pool, same product test, same tracker exclusions, same radius, same closest-20 cap, same rent rules, same mix weighting — differing only in whether the +/-10-year vintage test was applied. Set A, vintage test ON: 10 communities, vintages 1981 to 1987; this subject's rent reads 12.1% above it. Set B, vintage test OFF: 3 more communities join and none drops out — fewer than 20 qualify either way, so the cap never binds (vintages 1981 to 2018); the same rent reads 8.0% above it. Both figures are weighted by this property's own unit mix and computed over the same bed counts (95% of its units), so the two sets differ by 4.1 points. Every community that joins was built after 1987, set A's newest, so set B reaches newer product than the vintage test allowed. Both sets are listed on the Rent Comps section — this is a measurement of these two sets on this date, not an estimate of what vintage is worth in this market.</t>
        </is>
      </c>
    </row>
    <row r="17">
      <c r="A17" s="5" t="inlineStr">
        <is>
          <t>Market rent is BELOW in-place on this deal</t>
        </is>
      </c>
      <c r="B17" s="5" t="inlineStr">
        <is>
          <t>Rent Roll — Summary</t>
        </is>
      </c>
      <c r="C17" s="22" t="inlineStr">
        <is>
          <t>Unit-weighted in-place rent is $1,457 and market rent for the model is $1,345 — -7.7%. That is not an error. New leases are signing below what residents in place are paying, so the no-blend rule surfaces a downward mark the model has to carry. A blended new-and-renewal average would have hidden it.</t>
        </is>
      </c>
    </row>
    <row r="18">
      <c r="A18" s="5" t="inlineStr">
        <is>
          <t>This sample is a real deal, perturbed, at an illustrative address</t>
        </is>
      </c>
      <c r="B18" s="5" t="inlineStr">
        <is>
          <t>throughout</t>
        </is>
      </c>
      <c r="C18" s="22" t="inlineStr">
        <is>
          <t>This sample is a real, previously marketed multifamily asset's statements, perturbed: trailing-twelve income lines are 10% higher and expense lines 5% lower than the originals, rent-roll rents are 5% higher and lease dates one month earlier, and the pricing is illustrative. The property facts — unit mix, vintage, size — are the real ones. The ADDRESS is illustrative: 2151 E Southern Ave, Mesa, AZ 85204 is not the asset's location, and the demand, supply, rent-comp and property-tax tabs were pulled for this illustrative address from the same sources a live upload reads. The asset's name, its seller and its brokerage are withheld.</t>
        </is>
      </c>
    </row>
    <row r="19">
      <c r="A19" s="5" t="inlineStr">
        <is>
          <t>About the market pull</t>
        </is>
      </c>
      <c r="B19" s="5" t="inlineStr">
        <is>
          <t>Rent Comps / Demand / Supply</t>
        </is>
      </c>
      <c r="C19" s="22" t="inlineStr">
        <is>
          <t>Demand: the ZIP-versus-metro home value rows are Zillow ZHVI from a vendored table that carries no as-of date — the same static table the operator's 1-pager reads. Directional, not current.</t>
        </is>
      </c>
    </row>
    <row r="20">
      <c r="A20" s="5" t="inlineStr">
        <is>
          <t>About the market pull</t>
        </is>
      </c>
      <c r="B20" s="5" t="inlineStr">
        <is>
          <t>Rent Comps / Demand / Supply</t>
        </is>
      </c>
      <c r="C20" s="22" t="inlineStr">
        <is>
          <t>Supply stages: the permit pipeline tracks pre-permit signals (entitlement leads, site plans, stormwater notices — shown as Entitlement) and issued permits (Permitted). Construction status and deliveries are not tracked, so those stages are not asserted.</t>
        </is>
      </c>
    </row>
    <row r="21">
      <c r="A21" s="5" t="inlineStr">
        <is>
          <t>About the market pull</t>
        </is>
      </c>
      <c r="B21" s="5" t="inlineStr">
        <is>
          <t>Rent Comps / Demand / Supply</t>
        </is>
      </c>
      <c r="C21" s="22" t="inlineStr">
        <is>
          <t>Supply: cut to multifamily projects for an MF subject; build-for-rent projects are not counted.</t>
        </is>
      </c>
    </row>
    <row r="22">
      <c r="A22" s="5" t="inlineStr">
        <is>
          <t>About the market pull</t>
        </is>
      </c>
      <c r="B22" s="5" t="inlineStr">
        <is>
          <t>Rent Comps / Demand / Supply</t>
        </is>
      </c>
      <c r="C22" s="22" t="inlineStr">
        <is>
          <t>Supply: 214 row(s) were the same development on more than one lifecycle layer and were counted once, at the furthest stage the pipeline shows.</t>
        </is>
      </c>
    </row>
    <row r="23">
      <c r="A23" s="5" t="inlineStr">
        <is>
          <t>About the market pull</t>
        </is>
      </c>
      <c r="B23" s="5" t="inlineStr">
        <is>
          <t>Rent Comps / Demand / Supply</t>
        </is>
      </c>
      <c r="C23" s="22" t="inlineStr">
        <is>
          <t>Supply: 145 project(s) without a unit count are counted as projects and add zero units — the unit figure is a floor, not a total.</t>
        </is>
      </c>
    </row>
    <row r="24">
      <c r="A24" s="5" t="inlineStr">
        <is>
          <t>About the market pull</t>
        </is>
      </c>
      <c r="B24" s="5" t="inlineStr">
        <is>
          <t>Rent Comps / Demand / Supply</t>
        </is>
      </c>
      <c r="C24" s="22" t="inlineStr">
        <is>
          <t>Supply pipeline: Supply: layers are lifecycle views of the SAME market — a project can appear as an NOI and later as a permit; never sum a tab's rows across layers.</t>
        </is>
      </c>
    </row>
    <row r="25">
      <c r="A25" s="5" t="inlineStr">
        <is>
          <t>About the market pull</t>
        </is>
      </c>
      <c r="B25" s="5" t="inlineStr">
        <is>
          <t>Rent Comps / Demand / Supply</t>
        </is>
      </c>
      <c r="C25" s="22" t="inlineStr">
        <is>
          <t>Supply pipeline: Supply: county/SFD 'Units' are measured where the permit carries them; NOI and entitlement 'Units' are acreage-derived ESTIMATES (capped 300) — treat as indicative.</t>
        </is>
      </c>
    </row>
    <row r="26">
      <c r="A26" s="5" t="inlineStr">
        <is>
          <t>About the market pull</t>
        </is>
      </c>
      <c r="B26" s="5" t="inlineStr">
        <is>
          <t>Rent Comps / Demand / Supply</t>
        </is>
      </c>
      <c r="C26" s="22" t="inlineStr">
        <is>
          <t>Supply pipeline: Supply: 'Lead — entitlement' rows are pre-permit LEADS (~40-65% eventually build), not committed supply; their Status shows the de-risk funnel (prospect / NOI nearby / permit nearby).</t>
        </is>
      </c>
    </row>
    <row r="27">
      <c r="A27" s="5" t="inlineStr">
        <is>
          <t>About the market pull</t>
        </is>
      </c>
      <c r="B27" s="5" t="inlineStr">
        <is>
          <t>Rent Comps / Demand / Supply</t>
        </is>
      </c>
      <c r="C27" s="22" t="inlineStr">
        <is>
          <t>Supply pipeline: Supply BFR: the detached SFD-tract layer exists for Charlotte / Las Vegas / Nashville / Tampa today; elsewhere detached product shows via NOI radar + entitlement tiers. Phoenix has no attached-BFR NOI arm.</t>
        </is>
      </c>
    </row>
    <row r="28">
      <c r="A28" s="5" t="inlineStr">
        <is>
          <t>About the market pull</t>
        </is>
      </c>
      <c r="B28" s="5" t="inlineStr">
        <is>
          <t>Rent Comps / Demand / Supply</t>
        </is>
      </c>
      <c r="C28" s="22" t="inlineStr">
        <is>
          <t>Rent comps: 344 of 351 communities in the radius carry a year built (parsed from the tracker's vendor note); those are vintage-tested against the subject, the rest are matched on distance and product only and say so.</t>
        </is>
      </c>
    </row>
    <row r="29">
      <c r="A29" s="5" t="inlineStr">
        <is>
          <t>About the market pull</t>
        </is>
      </c>
      <c r="B29" s="5" t="inlineStr">
        <is>
          <t>Rent Comps / Demand / Supply</t>
        </is>
      </c>
      <c r="C29" s="22" t="inlineStr">
        <is>
          <t>Rent comps: the in-radius population (351 communities) was read from the service's audit rows with the registry's product, exclusion flag and year built; the 331 beyond its 20 preselected are tiered on those but carry no quoted rent, so they are listed nearby.</t>
        </is>
      </c>
    </row>
    <row r="30">
      <c r="A30" s="5" t="inlineStr">
        <is>
          <t>About the market pull</t>
        </is>
      </c>
      <c r="B30" s="5" t="inlineStr">
        <is>
          <t>Rent Comps / Demand / Supply</t>
        </is>
      </c>
      <c r="C30" s="22" t="inlineStr">
        <is>
          <t>Rent comps: the service did not provide the lowest-five rent measure; rows marked 'group floor' quote the single lowest listing, which reads BELOW the lowest-five average.</t>
        </is>
      </c>
    </row>
    <row r="31">
      <c r="A31" s="5" t="inlineStr">
        <is>
          <t>About the market pull</t>
        </is>
      </c>
      <c r="B31" s="5" t="inlineStr">
        <is>
          <t>Rent Comps / Demand / Supply</t>
        </is>
      </c>
      <c r="C31" s="22" t="inlineStr">
        <is>
          <t>Rent comps: 1 community name(s) would fail the publishing check and are withheld; their rows stay, by distance and units.</t>
        </is>
      </c>
    </row>
    <row r="32">
      <c r="A32" s="5" t="inlineStr">
        <is>
          <t>About the market pull</t>
        </is>
      </c>
      <c r="B32" s="5" t="inlineStr">
        <is>
          <t>Rent Comps / Demand / Supply</t>
        </is>
      </c>
      <c r="C32" s="22" t="inlineStr">
        <is>
          <t>Rent comps: 13 unit group(s) the tracker flagged for review were not quoted.</t>
        </is>
      </c>
    </row>
    <row r="33">
      <c r="A33" s="5" t="inlineStr">
        <is>
          <t>About the market pull</t>
        </is>
      </c>
      <c r="B33" s="5" t="inlineStr">
        <is>
          <t>Rent Comps / Demand / Supply</t>
        </is>
      </c>
      <c r="C33" s="22" t="inlineStr">
        <is>
          <t>1 tracked community within the radius withheld from the comp set: the real asset this sample derives from.</t>
        </is>
      </c>
    </row>
    <row r="34">
      <c r="A34" s="5" t="inlineStr">
        <is>
          <t>About this run</t>
        </is>
      </c>
      <c r="B34" s="5" t="inlineStr">
        <is>
          <t>Notes &amp; Disclosures</t>
        </is>
      </c>
      <c r="C34" s="22" t="inlineStr">
        <is>
          <t>40 row(s) below the header were SKIPPED rather than counted as units: 29 read as a trailer (a totals or summary line, or a row carrying nothing that describes one unit); 11 carrying no unit identifier. Check that number against your own roll — a real unit dropped by that test would be in it.</t>
        </is>
      </c>
    </row>
    <row r="35">
      <c r="A35" s="5" t="inlineStr">
        <is>
          <t>About this run</t>
        </is>
      </c>
      <c r="B35" s="5" t="inlineStr">
        <is>
          <t>Notes &amp; Disclosures</t>
        </is>
      </c>
      <c r="C35" s="22" t="inlineStr">
        <is>
          <t>6 unit(s) appeared twice in the export (1060, 1077, 1104, 1146, 2021, 2107); kept the lease in place on the as-of date and dropped the incoming lease.</t>
        </is>
      </c>
    </row>
    <row r="36">
      <c r="A36" s="5" t="inlineStr">
        <is>
          <t>About this run</t>
        </is>
      </c>
      <c r="B36" s="5" t="inlineStr">
        <is>
          <t>Notes &amp; Disclosures</t>
        </is>
      </c>
      <c r="C36" s="22" t="inlineStr">
        <is>
          <t>40 account line(s) below the statement's NET OPERATING INCOME row were left out of operating results (capital, reserves or other non-operating items, by the statement's own layout).</t>
        </is>
      </c>
    </row>
    <row r="37">
      <c r="A37" s="5" t="inlineStr">
        <is>
          <t>About this run</t>
        </is>
      </c>
      <c r="B37" s="5" t="inlineStr">
        <is>
          <t>Notes &amp; Disclosures</t>
        </is>
      </c>
      <c r="C37" s="22" t="inlineStr">
        <is>
          <t>Ties to the statement's own printed subtotals: revenue, operating expenses, NOI.</t>
        </is>
      </c>
    </row>
    <row r="38">
      <c r="A38" s="5" t="inlineStr">
        <is>
          <t>About this run</t>
        </is>
      </c>
      <c r="B38" s="5" t="inlineStr">
        <is>
          <t>Notes &amp; Disclosures</t>
        </is>
      </c>
      <c r="C38" s="22" t="inlineStr">
        <is>
          <t>The market report (demand, supply, comps) did not run: the market-report service is not configured on this deployment (MARKET_REPORT_URL / MARKET_REPORT_TOKEN unset).</t>
        </is>
      </c>
    </row>
    <row r="39">
      <c r="A39" s="5" t="inlineStr">
        <is>
          <t>About this run</t>
        </is>
      </c>
      <c r="B39" s="5" t="inlineStr">
        <is>
          <t>Notes &amp; Disclosures</t>
        </is>
      </c>
      <c r="C39" s="22" t="inlineStr">
        <is>
          <t>OM comparables: 3 stated comparable(s) the model read were withheld because a figure or quote could not be verified against the memorandum's own words.</t>
        </is>
      </c>
    </row>
    <row r="40">
      <c r="A40" s="5" t="inlineStr">
        <is>
          <t>About this run</t>
        </is>
      </c>
      <c r="B40" s="5" t="inlineStr">
        <is>
          <t>Notes &amp; Disclosures</t>
        </is>
      </c>
      <c r="C40" s="22" t="inlineStr">
        <is>
          <t>Beneath the scraped set, the comparables the offering memorandum itself states are listed under their own heading. They are the seller's figures — each one verified against the memorandum's own text (rent rows show their quote) — not market data, and they are never mixed into the scraped tiers.</t>
        </is>
      </c>
    </row>
    <row r="41">
      <c r="A41" s="5" t="inlineStr">
        <is>
          <t>About this run</t>
        </is>
      </c>
      <c r="B41" s="5" t="inlineStr">
        <is>
          <t>Notes &amp; Disclosures</t>
        </is>
      </c>
      <c r="C41" s="22" t="inlineStr">
        <is>
          <t>Property tax: the rate is the vendored county rate table's entry for Maricopa, AZ — 10.2573 per $100 of assessed value, tax year 2025, Tax area code 971300 — City of Phoenix / Deer Valley Unified School District #97 — with the AZ assessment ratio and reset-on-sale rule from the same table. No county portal was reached: the tax area code, the assessor's value, the exemption read MISSING; the parcel, the billed amount, the bill's tax year come from the uploaded offering memorandum, unverified against a portal. The statement's own Property Taxes line is shown as billed in the statement where a statement was uploaded.</t>
        </is>
      </c>
    </row>
    <row r="42">
      <c r="A42" s="5" t="inlineStr">
        <is>
          <t>About this run</t>
        </is>
      </c>
      <c r="B42" s="5" t="inlineStr">
        <is>
          <t>Notes &amp; Disclosures</t>
        </is>
      </c>
      <c r="C42" s="22" t="inlineStr">
        <is>
          <t>The uploaded rent roll stated the PERIOD it covers rather than a day: as-of taken as 2026-08-31, the last day of the stated period 202608. Every window on this page (the new-lease lookback and annualised turnover) is measured back from that date, not from the day of the upload.</t>
        </is>
      </c>
    </row>
    <row r="43">
      <c r="A43" s="5" t="inlineStr">
        <is>
          <t>About this run</t>
        </is>
      </c>
      <c r="B43" s="5" t="inlineStr">
        <is>
          <t>Notes &amp; Disclosures</t>
        </is>
      </c>
      <c r="C43" s="22" t="inlineStr">
        <is>
          <t>This output set was generated from documents uploaded to a public demo. It read an offering memorandum, a trailing-twelve statement, a rent roll. 20 summary field(s) were read from the marketing document by a language model and each one is carried with the sentence it came from; any value whose sentence could not be found in the document was discarded rather than shown. Every figure on the T-12 and rent-roll tabs are computed by code from the uploaded spreadsheets, not read by a model. Each T-12 line's category was assigned from the wording of its account label, not from an account-code table, because account codes mean different things in different systems. The category chosen for every line is shown beside it on the T-12 Data tab so you can check it; lines that could not be placed confidently are excluded rather than guessed at, and are listed above. Comparable rents, demographics, competing supply and closing costs were not run: they need data sources this demo does not reach. The uploaded files were deleted as soon as they were parsed, and this output set is deleted with the rest of the run.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9"/>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Southern Avenue Sample — as of 2026-08-31</t>
        </is>
      </c>
    </row>
    <row r="3">
      <c r="A3" s="2" t="inlineStr">
        <is>
          <t>Deal summary, comps, demand and supply.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3" t="n">
        <v>51</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4" t="inlineStr">
        <is>
          <t>closing_costs.mortgage_tax.amount</t>
        </is>
      </c>
      <c r="B9" s="5" t="inlineStr">
        <is>
          <t>0</t>
        </is>
      </c>
      <c r="C9" s="5" t="inlineStr">
        <is>
          <t>Not run in the upload demo</t>
        </is>
      </c>
      <c r="D9" s="5" t="inlineStr">
        <is>
          <t>—</t>
        </is>
      </c>
      <c r="E9" s="5" t="inlineStr">
        <is>
          <t>read</t>
        </is>
      </c>
      <c r="F9" s="12" t="n"/>
      <c r="G9" s="22" t="inlineStr">
        <is>
          <t>Not run in the upload demo. This section needs data sources the demo does not reach, so it is left empty rather than filled with placeholders.</t>
        </is>
      </c>
    </row>
    <row r="10">
      <c r="A10" s="24" t="inlineStr">
        <is>
          <t>closing_costs.transfer_tax.amount</t>
        </is>
      </c>
      <c r="B10" s="5" t="inlineStr">
        <is>
          <t>0</t>
        </is>
      </c>
      <c r="C10" s="5" t="inlineStr">
        <is>
          <t>Not run in the upload demo</t>
        </is>
      </c>
      <c r="D10" s="5" t="inlineStr">
        <is>
          <t>—</t>
        </is>
      </c>
      <c r="E10" s="5" t="inlineStr">
        <is>
          <t>read</t>
        </is>
      </c>
      <c r="F10" s="12" t="n"/>
      <c r="G10" s="22" t="inlineStr">
        <is>
          <t>Not run in the upload demo. This section needs data sources the demo does not reach, so it is left empty rather than filled with placeholders.</t>
        </is>
      </c>
    </row>
    <row r="11">
      <c r="A11" s="24" t="inlineStr">
        <is>
          <t>comps.nearby</t>
        </is>
      </c>
      <c r="B11" s="5" t="inlineStr">
        <is>
          <t>340 entries</t>
        </is>
      </c>
      <c r="C11" s="5" t="inlineStr">
        <is>
          <t>Tracked-community registry, via the market-report service</t>
        </is>
      </c>
      <c r="D11" s="5" t="inlineStr">
        <is>
          <t>POST /report (format json)</t>
        </is>
      </c>
      <c r="E11" s="5" t="inlineStr">
        <is>
          <t>derived</t>
        </is>
      </c>
      <c r="F11" s="5" t="inlineStr">
        <is>
          <t>comps.rows.tier</t>
        </is>
      </c>
      <c r="G11" s="22" t="inlineStr">
        <is>
          <t>Every community the service returned that is not a detail row, with the reason.</t>
        </is>
      </c>
    </row>
    <row r="12">
      <c r="A12" s="24" t="inlineStr">
        <is>
          <t>comps.rows</t>
        </is>
      </c>
      <c r="B12" s="5" t="inlineStr">
        <is>
          <t>19 entries</t>
        </is>
      </c>
      <c r="C12" s="5" t="inlineStr">
        <is>
          <t>Operator's own weekly rent scrape, via the market-report service</t>
        </is>
      </c>
      <c r="D12" s="5" t="inlineStr">
        <is>
          <t>POST /report (format json)</t>
        </is>
      </c>
      <c r="E12" s="5" t="inlineStr">
        <is>
          <t>read</t>
        </is>
      </c>
      <c r="F12" s="12" t="n"/>
      <c r="G12" s="22" t="inlineStr">
        <is>
          <t>Own weekly scrape; asking and net effective stated separately.</t>
        </is>
      </c>
    </row>
    <row r="13">
      <c r="A13" s="24" t="inlineStr">
        <is>
          <t>comps.rows.tier</t>
        </is>
      </c>
      <c r="B13" s="5" t="inlineStr">
        <is>
          <t>—</t>
        </is>
      </c>
      <c r="C13" s="5" t="inlineStr">
        <is>
          <t>Tracked-community registry, via the market-report service</t>
        </is>
      </c>
      <c r="D13" s="5" t="inlineStr">
        <is>
          <t>comp_tiers.assign</t>
        </is>
      </c>
      <c r="E13" s="5" t="inlineStr">
        <is>
          <t>derived</t>
        </is>
      </c>
      <c r="F13" s="5" t="inlineStr">
        <is>
          <t>comps.rows.distance_mi, comps.tiering.subject_product, comps.tiering.subject_year_built, comps.tiering.year_band, comps.tiering.top_n, comps.tiering.additional_n</t>
        </is>
      </c>
      <c r="G13" s="22" t="inlineStr">
        <is>
          <t>Closest same-product communities first, within the vintage band where the registry carries a year built; an unknown year keeps the community and says so.</t>
        </is>
      </c>
    </row>
    <row r="14">
      <c r="A14" s="24" t="inlineStr">
        <is>
          <t>demand.rings</t>
        </is>
      </c>
      <c r="B14" s="5" t="inlineStr">
        <is>
          <t>5 entries</t>
        </is>
      </c>
      <c r="C14" s="5" t="inlineStr">
        <is>
          <t>Public demographic data (the operator's ring engine), via the market-report service</t>
        </is>
      </c>
      <c r="D14" s="5" t="inlineStr">
        <is>
          <t>POST /report (format json)</t>
        </is>
      </c>
      <c r="E14" s="5" t="inlineStr">
        <is>
          <t>read</t>
        </is>
      </c>
      <c r="F14" s="12" t="n"/>
      <c r="G14" s="22" t="inlineStr">
        <is>
          <t>Ring demographics.</t>
        </is>
      </c>
    </row>
    <row r="15">
      <c r="A15" s="24" t="inlineStr">
        <is>
          <t>demand.zip_home</t>
        </is>
      </c>
      <c r="B15" s="5" t="inlineStr">
        <is>
          <t>—</t>
        </is>
      </c>
      <c r="C15" s="5" t="inlineStr">
        <is>
          <t>Zillow ZHVI home values (vendored static table, undated), via the market-report service</t>
        </is>
      </c>
      <c r="D15" s="5" t="inlineStr">
        <is>
          <t>POST /report (format json)</t>
        </is>
      </c>
      <c r="E15" s="5" t="inlineStr">
        <is>
          <t>read</t>
        </is>
      </c>
      <c r="F15" s="12" t="n"/>
      <c r="G15" s="22" t="inlineStr">
        <is>
          <t>ZIP and metro home values from the vendored Zillow ZHVI table; static, undated.</t>
        </is>
      </c>
    </row>
    <row r="16">
      <c r="A16" s="24" t="inlineStr">
        <is>
          <t>om_comps.rent</t>
        </is>
      </c>
      <c r="B16" s="5" t="inlineStr">
        <is>
          <t>0 entries</t>
        </is>
      </c>
      <c r="C16" s="5" t="inlineStr">
        <is>
          <t>Sample Property Offering Memorandum.pdf</t>
        </is>
      </c>
      <c r="D16" s="5" t="inlineStr">
        <is>
          <t>p.20</t>
        </is>
      </c>
      <c r="E16" s="5" t="inlineStr">
        <is>
          <t>read</t>
        </is>
      </c>
      <c r="F16" s="12" t="n"/>
      <c r="G16" s="22" t="inlineStr">
        <is>
          <t>4 rent comparable(s) the memorandum states; every figure verified inside its own quote.</t>
        </is>
      </c>
    </row>
    <row r="17">
      <c r="A17" s="24" t="inlineStr">
        <is>
          <t>pricing.price_per_unit</t>
        </is>
      </c>
      <c r="B17" s="5" t="inlineStr">
        <is>
          <t>215,000</t>
        </is>
      </c>
      <c r="C17" s="5" t="inlineStr">
        <is>
          <t>Illustrative price</t>
        </is>
      </c>
      <c r="D17" s="5" t="inlineStr">
        <is>
          <t>—</t>
        </is>
      </c>
      <c r="E17" s="5" t="inlineStr">
        <is>
          <t>read</t>
        </is>
      </c>
      <c r="F17" s="12" t="n"/>
      <c r="G17" s="22" t="inlineStr">
        <is>
          <t>Per-unit price chosen for the sample, inside the sale-price band; every cap rate and pricing ladder is computed from it.</t>
        </is>
      </c>
    </row>
    <row r="18">
      <c r="A18" s="24" t="inlineStr">
        <is>
          <t>pricing.unit_count</t>
        </is>
      </c>
      <c r="B18" s="5" t="inlineStr">
        <is>
          <t>334</t>
        </is>
      </c>
      <c r="C18" s="5" t="inlineStr">
        <is>
          <t>Sample Property RR 8.4.26.xlsx</t>
        </is>
      </c>
      <c r="D18" s="5" t="inlineStr">
        <is>
          <t>—</t>
        </is>
      </c>
      <c r="E18" s="5" t="inlineStr">
        <is>
          <t>derived</t>
        </is>
      </c>
      <c r="F18" s="5" t="inlineStr">
        <is>
          <t>summary.unit_count</t>
        </is>
      </c>
      <c r="G18" s="22" t="inlineStr">
        <is>
          <t>The same count the summary carries, counted from the rows of the uploaded rent roll.</t>
        </is>
      </c>
    </row>
    <row r="19">
      <c r="A19" s="24" t="inlineStr">
        <is>
          <t>summary.address_provenance</t>
        </is>
      </c>
      <c r="B19" s="5" t="inlineStr">
        <is>
          <t>Illustrative address — not the asset's real location. The market tabs were pulled for t…</t>
        </is>
      </c>
      <c r="C19" s="5" t="inlineStr">
        <is>
          <t>Illustrative address</t>
        </is>
      </c>
      <c r="D19" s="5" t="inlineStr">
        <is>
          <t>—</t>
        </is>
      </c>
      <c r="E19" s="5" t="inlineStr">
        <is>
          <t>read</t>
        </is>
      </c>
      <c r="F19" s="12" t="n"/>
      <c r="G19" s="22" t="inlineStr">
        <is>
          <t>Illustrative address — not the asset's real location. The market tabs were pulled for this address on 2026-09-14.</t>
        </is>
      </c>
    </row>
    <row r="20">
      <c r="A20" s="24" t="inlineStr">
        <is>
          <t>summary.assessed_value_basis</t>
        </is>
      </c>
      <c r="B20" s="5" t="inlineStr">
        <is>
          <t>MISSING</t>
        </is>
      </c>
      <c r="C20" s="5" t="inlineStr">
        <is>
          <t>Internal pipeline only</t>
        </is>
      </c>
      <c r="D20" s="5" t="inlineStr">
        <is>
          <t>—</t>
        </is>
      </c>
      <c r="E20" s="5" t="inlineStr">
        <is>
          <t>read</t>
        </is>
      </c>
      <c r="F20" s="12" t="n"/>
      <c r="G20" s="22" t="inlineStr">
        <is>
          <t>See parcel: read off the county assessor's portal by the internal pipeline only.</t>
        </is>
      </c>
    </row>
    <row r="21">
      <c r="A21" s="24" t="inlineStr">
        <is>
          <t>summary.assessment_ratio</t>
        </is>
      </c>
      <c r="B21" s="5" t="inlineStr">
        <is>
          <t>0.1</t>
        </is>
      </c>
      <c r="C21" s="5" t="inlineStr">
        <is>
          <t>Vendored county rate table</t>
        </is>
      </c>
      <c r="D21" s="5" t="inlineStr">
        <is>
          <t>property_tax_table.STATE_RULES['AZ']</t>
        </is>
      </c>
      <c r="E21" s="5" t="inlineStr">
        <is>
          <t>read</t>
        </is>
      </c>
      <c r="F21" s="12" t="n"/>
      <c r="G21" s="22" t="inlineStr">
        <is>
          <t>10% — legal class 4.2, residential rental. A.R.S. sec. 42-15003 (class four assessed at 10%); A.R.S. sec. 42-12004 (class four includes residential rental property).</t>
        </is>
      </c>
    </row>
    <row r="22">
      <c r="A22" s="24" t="inlineStr">
        <is>
          <t>summary.city</t>
        </is>
      </c>
      <c r="B22" s="5" t="inlineStr">
        <is>
          <t>Mesa</t>
        </is>
      </c>
      <c r="C22" s="5" t="inlineStr">
        <is>
          <t>Illustrative address</t>
        </is>
      </c>
      <c r="D22" s="5" t="inlineStr">
        <is>
          <t>—</t>
        </is>
      </c>
      <c r="E22" s="5" t="inlineStr">
        <is>
          <t>read</t>
        </is>
      </c>
      <c r="F22" s="12" t="n"/>
      <c r="G22" s="22" t="inlineStr">
        <is>
          <t>Illustrative address — not the asset's real location. The market tabs were pulled for this address on 2026-09-14.</t>
        </is>
      </c>
    </row>
    <row r="23">
      <c r="A23" s="24" t="inlineStr">
        <is>
          <t>summary.construction_status</t>
        </is>
      </c>
      <c r="B23" s="5" t="inlineStr">
        <is>
          <t>MISSING</t>
        </is>
      </c>
      <c r="C23" s="5" t="inlineStr">
        <is>
          <t>Not stated in the uploaded documents</t>
        </is>
      </c>
      <c r="D23" s="5" t="inlineStr">
        <is>
          <t>—</t>
        </is>
      </c>
      <c r="E23" s="5" t="inlineStr">
        <is>
          <t>read</t>
        </is>
      </c>
      <c r="F23" s="12" t="n"/>
      <c r="G23" s="22" t="inlineStr">
        <is>
          <t>No uploaded document stated this, so the value reads MISSING. Nothing was assumed to fill it.</t>
        </is>
      </c>
    </row>
    <row r="24">
      <c r="A24" s="24" t="inlineStr">
        <is>
          <t>summary.county</t>
        </is>
      </c>
      <c r="B24" s="5" t="inlineStr">
        <is>
          <t>Maricopa</t>
        </is>
      </c>
      <c r="C24" s="5" t="inlineStr">
        <is>
          <t>Illustrative address</t>
        </is>
      </c>
      <c r="D24" s="5" t="inlineStr">
        <is>
          <t>—</t>
        </is>
      </c>
      <c r="E24" s="5" t="inlineStr">
        <is>
          <t>read</t>
        </is>
      </c>
      <c r="F24" s="12" t="n"/>
      <c r="G24" s="22" t="inlineStr">
        <is>
          <t>Illustrative address — not the asset's real location. The market tabs were pulled for this address on 2026-09-14.</t>
        </is>
      </c>
    </row>
    <row r="25">
      <c r="A25" s="24" t="inlineStr">
        <is>
          <t>summary.deal_name</t>
        </is>
      </c>
      <c r="B25" s="5" t="inlineStr">
        <is>
          <t>Southern Avenue Sample</t>
        </is>
      </c>
      <c r="C25" s="5" t="inlineStr">
        <is>
          <t>Illustrative</t>
        </is>
      </c>
      <c r="D25" s="5" t="inlineStr">
        <is>
          <t>—</t>
        </is>
      </c>
      <c r="E25" s="5" t="inlineStr">
        <is>
          <t>read</t>
        </is>
      </c>
      <c r="F25" s="12" t="n"/>
      <c r="G25" s="22" t="inlineStr">
        <is>
          <t>The sample's name is illustrative; the asset's real name is withheld.</t>
        </is>
      </c>
    </row>
    <row r="26">
      <c r="A26" s="24" t="inlineStr">
        <is>
          <t>summary.deal_status</t>
        </is>
      </c>
      <c r="B26" s="5" t="inlineStr">
        <is>
          <t>MISSING</t>
        </is>
      </c>
      <c r="C26" s="5" t="inlineStr">
        <is>
          <t>Not stated in the uploaded documents</t>
        </is>
      </c>
      <c r="D26" s="5" t="inlineStr">
        <is>
          <t>—</t>
        </is>
      </c>
      <c r="E26" s="5" t="inlineStr">
        <is>
          <t>read</t>
        </is>
      </c>
      <c r="F26" s="12" t="n"/>
      <c r="G26" s="22" t="inlineStr">
        <is>
          <t>No uploaded document stated this, so the value reads MISSING. Nothing was assumed to fill it.</t>
        </is>
      </c>
    </row>
    <row r="27">
      <c r="A27" s="24" t="inlineStr">
        <is>
          <t>summary.delivery_date</t>
        </is>
      </c>
      <c r="B27" s="5" t="inlineStr">
        <is>
          <t>MISSING</t>
        </is>
      </c>
      <c r="C27" s="5" t="inlineStr">
        <is>
          <t>Not stated in the uploaded documents</t>
        </is>
      </c>
      <c r="D27" s="5" t="inlineStr">
        <is>
          <t>—</t>
        </is>
      </c>
      <c r="E27" s="5" t="inlineStr">
        <is>
          <t>read</t>
        </is>
      </c>
      <c r="F27" s="12" t="n"/>
      <c r="G27" s="22" t="inlineStr">
        <is>
          <t>No uploaded document stated this, so the value reads MISSING. Nothing was assumed to fill it.</t>
        </is>
      </c>
    </row>
    <row r="28">
      <c r="A28" s="24" t="inlineStr">
        <is>
          <t>summary.fair_market_value</t>
        </is>
      </c>
      <c r="B28" s="5" t="inlineStr">
        <is>
          <t>MISSING</t>
        </is>
      </c>
      <c r="C28" s="5" t="inlineStr">
        <is>
          <t>Internal pipeline only</t>
        </is>
      </c>
      <c r="D28" s="5" t="inlineStr">
        <is>
          <t>—</t>
        </is>
      </c>
      <c r="E28" s="5" t="inlineStr">
        <is>
          <t>read</t>
        </is>
      </c>
      <c r="F28" s="12" t="n"/>
      <c r="G28" s="22" t="inlineStr">
        <is>
          <t>The internal pipeline pulls a market value by web lookup; the demo does not reach the web.</t>
        </is>
      </c>
    </row>
    <row r="29">
      <c r="A29" s="24" t="inlineStr">
        <is>
          <t>summary.in_place_rent_avg</t>
        </is>
      </c>
      <c r="B29" s="5" t="inlineStr">
        <is>
          <t>1,456.99</t>
        </is>
      </c>
      <c r="C29" s="5" t="inlineStr">
        <is>
          <t>Sample Property RR 8.4.26.xlsx</t>
        </is>
      </c>
      <c r="D29" s="5" t="inlineStr">
        <is>
          <t>—</t>
        </is>
      </c>
      <c r="E29" s="5" t="inlineStr">
        <is>
          <t>derived</t>
        </is>
      </c>
      <c r="F29" s="5" t="inlineStr">
        <is>
          <t>rent_roll.units</t>
        </is>
      </c>
      <c r="G29" s="22" t="inlineStr">
        <is>
          <t>Unit-weighted across the uploaded roll.</t>
        </is>
      </c>
    </row>
    <row r="30">
      <c r="A30" s="24" t="inlineStr">
        <is>
          <t>summary.listing_brokerage</t>
        </is>
      </c>
      <c r="B30" s="5" t="inlineStr">
        <is>
          <t>Listing brokerage</t>
        </is>
      </c>
      <c r="C30" s="5" t="inlineStr">
        <is>
          <t>Sample Property Offering Memorandum.pdf</t>
        </is>
      </c>
      <c r="D30" s="5" t="inlineStr">
        <is>
          <t>withheld</t>
        </is>
      </c>
      <c r="E30" s="5" t="inlineStr">
        <is>
          <t>read</t>
        </is>
      </c>
      <c r="F30" s="12" t="n"/>
      <c r="G30" s="22" t="inlineStr">
        <is>
          <t>Stated in the memorandum; withheld from the public sample because it identifies the real asset.</t>
        </is>
      </c>
    </row>
    <row r="31">
      <c r="A31" s="24" t="inlineStr">
        <is>
          <t>summary.market_rent_for_model</t>
        </is>
      </c>
      <c r="B31" s="5" t="inlineStr">
        <is>
          <t>1,344.6</t>
        </is>
      </c>
      <c r="C31" s="5" t="inlineStr">
        <is>
          <t>Sample Property RR 8.4.26.xlsx</t>
        </is>
      </c>
      <c r="D31" s="5" t="inlineStr">
        <is>
          <t>—</t>
        </is>
      </c>
      <c r="E31" s="5" t="inlineStr">
        <is>
          <t>derived</t>
        </is>
      </c>
      <c r="F31" s="5" t="inlineStr">
        <is>
          <t>rent_roll.units</t>
        </is>
      </c>
      <c r="G31" s="22" t="inlineStr">
        <is>
          <t>Unit-weighted across the uploaded roll.</t>
        </is>
      </c>
    </row>
    <row r="32">
      <c r="A32" s="24" t="inlineStr">
        <is>
          <t>summary.msa</t>
        </is>
      </c>
      <c r="B32" s="5" t="inlineStr">
        <is>
          <t>Phoenix MSA</t>
        </is>
      </c>
      <c r="C32" s="5" t="inlineStr">
        <is>
          <t>Illustrative address</t>
        </is>
      </c>
      <c r="D32" s="5" t="inlineStr">
        <is>
          <t>—</t>
        </is>
      </c>
      <c r="E32" s="5" t="inlineStr">
        <is>
          <t>read</t>
        </is>
      </c>
      <c r="F32" s="12" t="n"/>
      <c r="G32" s="22" t="inlineStr">
        <is>
          <t>Illustrative address — not the asset's real location. The market tabs were pulled for this address on 2026-09-14.</t>
        </is>
      </c>
    </row>
    <row r="33">
      <c r="A33" s="24" t="inlineStr">
        <is>
          <t>summary.pricing_guidance</t>
        </is>
      </c>
      <c r="B33" s="5" t="inlineStr">
        <is>
          <t>$215,000 per unit (illustrative)</t>
        </is>
      </c>
      <c r="C33" s="5" t="inlineStr">
        <is>
          <t>Illustrative price</t>
        </is>
      </c>
      <c r="D33" s="5" t="inlineStr">
        <is>
          <t>—</t>
        </is>
      </c>
      <c r="E33" s="5" t="inlineStr">
        <is>
          <t>read</t>
        </is>
      </c>
      <c r="F33" s="12" t="n"/>
      <c r="G33" s="22" t="inlineStr">
        <is>
          <t>Every price and cap rate below is illustrative. The per-unit price is a round number chosen for the sample inside the band a real per-unit sale price occupies; it is not a quote, an offer, or a broker's guidance.</t>
        </is>
      </c>
    </row>
    <row r="34">
      <c r="A34" s="24" t="inlineStr">
        <is>
          <t>summary.product_detail</t>
        </is>
      </c>
      <c r="B34" s="5" t="inlineStr">
        <is>
          <t>One-, two-, and three-bedroom residences averaging 856 square feet across 40 buildings …</t>
        </is>
      </c>
      <c r="C34" s="5" t="inlineStr">
        <is>
          <t>Sample Property Offering Memorandum.pdf</t>
        </is>
      </c>
      <c r="D34" s="5" t="inlineStr">
        <is>
          <t>p.3</t>
        </is>
      </c>
      <c r="E34" s="5" t="inlineStr">
        <is>
          <t>read</t>
        </is>
      </c>
      <c r="F34" s="12" t="n"/>
      <c r="G34" s="22" t="inlineStr">
        <is>
          <t>the property offers a diversified mix of 
one-, two-, and three-bedroom residences averaging 856 square 
feet</t>
        </is>
      </c>
    </row>
    <row r="35">
      <c r="A35" s="24" t="inlineStr">
        <is>
          <t>summary.product_type</t>
        </is>
      </c>
      <c r="B35" s="5" t="inlineStr">
        <is>
          <t>garden-style multifamily</t>
        </is>
      </c>
      <c r="C35" s="5" t="inlineStr">
        <is>
          <t>Sample Property Offering Memorandum.pdf</t>
        </is>
      </c>
      <c r="D35" s="5" t="inlineStr">
        <is>
          <t>p.3</t>
        </is>
      </c>
      <c r="E35" s="5" t="inlineStr">
        <is>
          <t>read</t>
        </is>
      </c>
      <c r="F35" s="12" t="n"/>
      <c r="G35" s="22" t="inlineStr">
        <is>
          <t>Stated in the memorandum; withheld from the public sample because it identifies the real asset.</t>
        </is>
      </c>
    </row>
    <row r="36">
      <c r="A36" s="24" t="inlineStr">
        <is>
          <t>summary.school_elementary_name</t>
        </is>
      </c>
      <c r="B36" s="5" t="inlineStr">
        <is>
          <t>MISSING</t>
        </is>
      </c>
      <c r="C36" s="5" t="inlineStr">
        <is>
          <t>Internal pipeline only</t>
        </is>
      </c>
      <c r="D36" s="5" t="inlineStr">
        <is>
          <t>—</t>
        </is>
      </c>
      <c r="E36" s="5" t="inlineStr">
        <is>
          <t>read</t>
        </is>
      </c>
      <c r="F36" s="12" t="n"/>
      <c r="G36" s="22" t="inlineStr">
        <is>
          <t>The internal pipeline looks up the attendance-zone elementary, middle and high school and their public ratings; the demo reads a school name only where the memorandum states one and never rates it.</t>
        </is>
      </c>
    </row>
    <row r="37">
      <c r="A37" s="24" t="inlineStr">
        <is>
          <t>summary.school_high_name</t>
        </is>
      </c>
      <c r="B37" s="5" t="inlineStr">
        <is>
          <t>MISSING</t>
        </is>
      </c>
      <c r="C37" s="5" t="inlineStr">
        <is>
          <t>Internal pipeline only</t>
        </is>
      </c>
      <c r="D37" s="5" t="inlineStr">
        <is>
          <t>—</t>
        </is>
      </c>
      <c r="E37" s="5" t="inlineStr">
        <is>
          <t>read</t>
        </is>
      </c>
      <c r="F37" s="12" t="n"/>
      <c r="G37" s="22" t="inlineStr">
        <is>
          <t>The internal pipeline looks up the attendance-zone elementary, middle and high school and their public ratings; the demo reads a school name only where the memorandum states one and never rates it.</t>
        </is>
      </c>
    </row>
    <row r="38">
      <c r="A38" s="24" t="inlineStr">
        <is>
          <t>summary.school_middle_name</t>
        </is>
      </c>
      <c r="B38" s="5" t="inlineStr">
        <is>
          <t>MISSING</t>
        </is>
      </c>
      <c r="C38" s="5" t="inlineStr">
        <is>
          <t>Internal pipeline only</t>
        </is>
      </c>
      <c r="D38" s="5" t="inlineStr">
        <is>
          <t>—</t>
        </is>
      </c>
      <c r="E38" s="5" t="inlineStr">
        <is>
          <t>read</t>
        </is>
      </c>
      <c r="F38" s="12" t="n"/>
      <c r="G38" s="22" t="inlineStr">
        <is>
          <t>The internal pipeline looks up the attendance-zone elementary, middle and high school and their public ratings; the demo reads a school name only where the memorandum states one and never rates it.</t>
        </is>
      </c>
    </row>
    <row r="39">
      <c r="A39" s="24" t="inlineStr">
        <is>
          <t>summary.seller_entity</t>
        </is>
      </c>
      <c r="B39" s="5" t="inlineStr">
        <is>
          <t>Institutional owner-operator (name withheld)</t>
        </is>
      </c>
      <c r="C39" s="5" t="inlineStr">
        <is>
          <t>Sample Property Offering Memorandum.pdf</t>
        </is>
      </c>
      <c r="D39" s="5" t="inlineStr">
        <is>
          <t>withheld</t>
        </is>
      </c>
      <c r="E39" s="5" t="inlineStr">
        <is>
          <t>read</t>
        </is>
      </c>
      <c r="F39" s="12" t="n"/>
      <c r="G39" s="22" t="inlineStr">
        <is>
          <t>Stated in the memorandum; withheld from the public sample because it identifies the real asset.</t>
        </is>
      </c>
    </row>
    <row r="40">
      <c r="A40" s="24" t="inlineStr">
        <is>
          <t>summary.state</t>
        </is>
      </c>
      <c r="B40" s="5" t="inlineStr">
        <is>
          <t>AZ</t>
        </is>
      </c>
      <c r="C40" s="5" t="inlineStr">
        <is>
          <t>Illustrative address</t>
        </is>
      </c>
      <c r="D40" s="5" t="inlineStr">
        <is>
          <t>—</t>
        </is>
      </c>
      <c r="E40" s="5" t="inlineStr">
        <is>
          <t>read</t>
        </is>
      </c>
      <c r="F40" s="12" t="n"/>
      <c r="G40" s="22" t="inlineStr">
        <is>
          <t>Illustrative address — not the asset's real location. The market tabs were pulled for this address on 2026-09-14.</t>
        </is>
      </c>
    </row>
    <row r="41">
      <c r="A41" s="24" t="inlineStr">
        <is>
          <t>summary.street_address</t>
        </is>
      </c>
      <c r="B41" s="5" t="inlineStr">
        <is>
          <t>2151 E Southern Ave</t>
        </is>
      </c>
      <c r="C41" s="5" t="inlineStr">
        <is>
          <t>Illustrative address</t>
        </is>
      </c>
      <c r="D41" s="5" t="inlineStr">
        <is>
          <t>—</t>
        </is>
      </c>
      <c r="E41" s="5" t="inlineStr">
        <is>
          <t>read</t>
        </is>
      </c>
      <c r="F41" s="12" t="n"/>
      <c r="G41" s="22" t="inlineStr">
        <is>
          <t>Illustrative address — not the asset's real location. The market tabs were pulled for this address on 2026-09-14.</t>
        </is>
      </c>
    </row>
    <row r="42">
      <c r="A42" s="24" t="inlineStr">
        <is>
          <t>summary.structure</t>
        </is>
      </c>
      <c r="B42" s="5" t="inlineStr">
        <is>
          <t>1 &amp; 2 stories</t>
        </is>
      </c>
      <c r="C42" s="5" t="inlineStr">
        <is>
          <t>Sample Property Offering Memorandum.pdf</t>
        </is>
      </c>
      <c r="D42" s="5" t="inlineStr">
        <is>
          <t>p.10</t>
        </is>
      </c>
      <c r="E42" s="5" t="inlineStr">
        <is>
          <t>read</t>
        </is>
      </c>
      <c r="F42" s="12" t="n"/>
      <c r="G42" s="22" t="inlineStr">
        <is>
          <t>Number of Stories 1 &amp; 2</t>
        </is>
      </c>
    </row>
    <row r="43">
      <c r="A43" s="24" t="inlineStr">
        <is>
          <t>summary.tax_area_code</t>
        </is>
      </c>
      <c r="B43" s="5" t="inlineStr">
        <is>
          <t>MISSING</t>
        </is>
      </c>
      <c r="C43" s="5" t="inlineStr">
        <is>
          <t>Internal pipeline only</t>
        </is>
      </c>
      <c r="D43" s="5" t="inlineStr">
        <is>
          <t>—</t>
        </is>
      </c>
      <c r="E43" s="5" t="inlineStr">
        <is>
          <t>read</t>
        </is>
      </c>
      <c r="F43" s="12" t="n"/>
      <c r="G43" s="22" t="inlineStr">
        <is>
          <t>See parcel: read off the county assessor's portal by the internal pipeline only.</t>
        </is>
      </c>
    </row>
    <row r="44">
      <c r="A44" s="24" t="inlineStr">
        <is>
          <t>summary.tax_basis_label</t>
        </is>
      </c>
      <c r="B44" s="5" t="inlineStr">
        <is>
          <t>Limited property value (LPV), per the county assessor</t>
        </is>
      </c>
      <c r="C44" s="5" t="inlineStr">
        <is>
          <t>Vendored county rate table</t>
        </is>
      </c>
      <c r="D44" s="5" t="inlineStr">
        <is>
          <t>property_tax_table.STATE_RULES['AZ']</t>
        </is>
      </c>
      <c r="E44" s="5" t="inlineStr">
        <is>
          <t>read</t>
        </is>
      </c>
      <c r="F44" s="12" t="n"/>
      <c r="G44" s="22" t="inlineStr">
        <is>
          <t>What the assessed basis is in this state.</t>
        </is>
      </c>
    </row>
    <row r="45">
      <c r="A45" s="24" t="inlineStr">
        <is>
          <t>summary.tax_basis_note</t>
        </is>
      </c>
      <c r="B45" s="5" t="inlineStr">
        <is>
          <t>Arizona taxes the limited property value, not the price. Under Proposition 117 (Ariz. C…</t>
        </is>
      </c>
      <c r="C45" s="5" t="inlineStr">
        <is>
          <t>Vendored county rate table</t>
        </is>
      </c>
      <c r="D45" s="5" t="inlineStr">
        <is>
          <t>property_tax_table.STATE_RULES['AZ']</t>
        </is>
      </c>
      <c r="E45" s="5" t="inlineStr">
        <is>
          <t>read</t>
        </is>
      </c>
      <c r="F45" s="12" t="n"/>
      <c r="G45" s="22" t="inlineStr">
        <is>
          <t>How the basis behaves on a sale, with the authority.</t>
        </is>
      </c>
    </row>
    <row r="46">
      <c r="A46" s="24" t="inlineStr">
        <is>
          <t>summary.tax_billed_amount</t>
        </is>
      </c>
      <c r="B46" s="5" t="inlineStr">
        <is>
          <t>249,122</t>
        </is>
      </c>
      <c r="C46" s="5" t="inlineStr">
        <is>
          <t>Sample Property Offering Memorandum.pdf</t>
        </is>
      </c>
      <c r="D46" s="5" t="inlineStr">
        <is>
          <t>p.10</t>
        </is>
      </c>
      <c r="E46" s="5" t="inlineStr">
        <is>
          <t>read</t>
        </is>
      </c>
      <c r="F46" s="12" t="n"/>
      <c r="G46" s="22" t="inlineStr">
        <is>
          <t>2025 Property Tax $249,122</t>
        </is>
      </c>
    </row>
    <row r="47">
      <c r="A47" s="24" t="inlineStr">
        <is>
          <t>summary.tax_billed_year</t>
        </is>
      </c>
      <c r="B47" s="5" t="inlineStr">
        <is>
          <t>2,025</t>
        </is>
      </c>
      <c r="C47" s="5" t="inlineStr">
        <is>
          <t>Sample Property Offering Memorandum.pdf</t>
        </is>
      </c>
      <c r="D47" s="5" t="inlineStr">
        <is>
          <t>p.10</t>
        </is>
      </c>
      <c r="E47" s="5" t="inlineStr">
        <is>
          <t>read</t>
        </is>
      </c>
      <c r="F47" s="12" t="n"/>
      <c r="G47" s="22" t="inlineStr">
        <is>
          <t>2025 Property Tax $249,122</t>
        </is>
      </c>
    </row>
    <row r="48">
      <c r="A48" s="24" t="inlineStr">
        <is>
          <t>summary.tax_divisor</t>
        </is>
      </c>
      <c r="B48" s="5" t="inlineStr">
        <is>
          <t>100</t>
        </is>
      </c>
      <c r="C48" s="5" t="inlineStr">
        <is>
          <t>Vendored county rate table</t>
        </is>
      </c>
      <c r="D48" s="5" t="inlineStr">
        <is>
          <t>property_tax_table.STATE_RULES['AZ']</t>
        </is>
      </c>
      <c r="E48" s="5" t="inlineStr">
        <is>
          <t>read</t>
        </is>
      </c>
      <c r="F48" s="12" t="n"/>
      <c r="G48" s="22" t="inlineStr">
        <is>
          <t>The rate's unit in Arizona: per $100 of assessed value.</t>
        </is>
      </c>
    </row>
    <row r="49">
      <c r="A49" s="24" t="inlineStr">
        <is>
          <t>summary.tax_exemption</t>
        </is>
      </c>
      <c r="B49" s="5" t="inlineStr">
        <is>
          <t>MISSING</t>
        </is>
      </c>
      <c r="C49" s="5" t="inlineStr">
        <is>
          <t>Internal pipeline only</t>
        </is>
      </c>
      <c r="D49" s="5" t="inlineStr">
        <is>
          <t>—</t>
        </is>
      </c>
      <c r="E49" s="5" t="inlineStr">
        <is>
          <t>read</t>
        </is>
      </c>
      <c r="F49" s="12" t="n"/>
      <c r="G49" s="22" t="inlineStr">
        <is>
          <t>See parcel: read off the county assessor's portal by the internal pipeline only.</t>
        </is>
      </c>
    </row>
    <row r="50">
      <c r="A50" s="24" t="inlineStr">
        <is>
          <t>summary.tax_parcel_id</t>
        </is>
      </c>
      <c r="B50" s="5" t="inlineStr">
        <is>
          <t>301-04-002K</t>
        </is>
      </c>
      <c r="C50" s="5" t="inlineStr">
        <is>
          <t>Sample Property Offering Memorandum.pdf</t>
        </is>
      </c>
      <c r="D50" s="5" t="inlineStr">
        <is>
          <t>p.10</t>
        </is>
      </c>
      <c r="E50" s="5" t="inlineStr">
        <is>
          <t>read</t>
        </is>
      </c>
      <c r="F50" s="12" t="n"/>
      <c r="G50" s="22" t="inlineStr">
        <is>
          <t>Tax Parcel Number 301-04-002K</t>
        </is>
      </c>
    </row>
    <row r="51">
      <c r="A51" s="24" t="inlineStr">
        <is>
          <t>summary.tax_per_unit_flag</t>
        </is>
      </c>
      <c r="B51" s="5" t="inlineStr">
        <is>
          <t>In band (the statement's line per unit): $717 per unit a year is inside the AZ band of …</t>
        </is>
      </c>
      <c r="C51" s="5" t="inlineStr">
        <is>
          <t>Vendored county rate table</t>
        </is>
      </c>
      <c r="D51" s="5" t="inlineStr">
        <is>
          <t>property_tax_table.band_check</t>
        </is>
      </c>
      <c r="E51" s="5" t="inlineStr">
        <is>
          <t>derived</t>
        </is>
      </c>
      <c r="F51" s="5" t="inlineStr">
        <is>
          <t>summary.tax_statement_amount, summary.unit_count, summary.state</t>
        </is>
      </c>
      <c r="G51" s="22" t="inlineStr">
        <is>
          <t>A sanity check against the state's typical per-unit range. It flags; it never changes a figure.</t>
        </is>
      </c>
    </row>
    <row r="52">
      <c r="A52" s="24" t="inlineStr">
        <is>
          <t>summary.tax_rate_as_billed</t>
        </is>
      </c>
      <c r="B52" s="5" t="inlineStr">
        <is>
          <t>10.26</t>
        </is>
      </c>
      <c r="C52" s="5" t="inlineStr">
        <is>
          <t>Vendored county rate table</t>
        </is>
      </c>
      <c r="D52" s="5" t="inlineStr">
        <is>
          <t>property_tax_table.COUNTY_RATES[('AZ', 'maricopa')]</t>
        </is>
      </c>
      <c r="E52" s="5" t="inlineStr">
        <is>
          <t>read</t>
        </is>
      </c>
      <c r="F52" s="12" t="n"/>
      <c r="G52" s="22" t="inlineStr">
        <is>
          <t>Tax area code 971300 — City of Phoenix / Deer Valley Unified School District #97, tax year 2025. Maricopa County, '2025 Tax Rates, Maricopa County, Arizona' (the treasurer's rate table by tax area code), row 971300: primary 6.7007, approx residential primary 5.1401, secondary 3.5566. Verified 2026-09-04.</t>
        </is>
      </c>
    </row>
    <row r="53">
      <c r="A53" s="24" t="inlineStr">
        <is>
          <t>summary.tax_rate_evidence</t>
        </is>
      </c>
      <c r="B53" s="5" t="inlineStr">
        <is>
          <t>Vendored county rate table: 10.2573 per $100 of assessed value, tax year 2025 — Tax are…</t>
        </is>
      </c>
      <c r="C53" s="5" t="inlineStr">
        <is>
          <t>Vendored county rate table</t>
        </is>
      </c>
      <c r="D53" s="5" t="inlineStr">
        <is>
          <t>property_tax_table.evidence_text</t>
        </is>
      </c>
      <c r="E53" s="5" t="inlineStr">
        <is>
          <t>derived</t>
        </is>
      </c>
      <c r="F53" s="5" t="inlineStr">
        <is>
          <t>summary.state, summary.county, summary.tax_parcel_id, summary.tax_billed_amount, summary.tax_billed_year</t>
        </is>
      </c>
      <c r="G53" s="22" t="inlineStr">
        <is>
          <t>The citation, tax year and jurisdiction stack behind the rate, or the honest note that none is on file. Also records what the uploaded document stated for the field(s) it cites.</t>
        </is>
      </c>
    </row>
    <row r="54">
      <c r="A54" s="24" t="inlineStr">
        <is>
          <t>summary.tax_rate_year</t>
        </is>
      </c>
      <c r="B54" s="5" t="inlineStr">
        <is>
          <t>2,025</t>
        </is>
      </c>
      <c r="C54" s="5" t="inlineStr">
        <is>
          <t>Vendored county rate table</t>
        </is>
      </c>
      <c r="D54" s="5" t="inlineStr">
        <is>
          <t>property_tax_table.COUNTY_RATES[('AZ', 'maricopa')]</t>
        </is>
      </c>
      <c r="E54" s="5" t="inlineStr">
        <is>
          <t>read</t>
        </is>
      </c>
      <c r="F54" s="12" t="n"/>
      <c r="G54" s="22" t="inlineStr">
        <is>
          <t>The tax year of the rate on file. A bill from another year is displayed, not tied out.</t>
        </is>
      </c>
    </row>
    <row r="55">
      <c r="A55" s="24" t="inlineStr">
        <is>
          <t>summary.tax_statement_amount</t>
        </is>
      </c>
      <c r="B55" s="5" t="inlineStr">
        <is>
          <t>239,566.79</t>
        </is>
      </c>
      <c r="C55" s="5" t="inlineStr">
        <is>
          <t>Sample Property T-12 June 26.xlsx</t>
        </is>
      </c>
      <c r="D55" s="5" t="inlineStr">
        <is>
          <t>Property Taxes lines</t>
        </is>
      </c>
      <c r="E55" s="5" t="inlineStr">
        <is>
          <t>computed</t>
        </is>
      </c>
      <c r="F55" s="5" t="inlineStr">
        <is>
          <t>t12.rows</t>
        </is>
      </c>
      <c r="G55" s="22" t="inlineStr">
        <is>
          <t>The statement's lines categorised as Property Taxes, summed over its twelve months. As billed in the statement, not the county's bill.</t>
        </is>
      </c>
    </row>
    <row r="56">
      <c r="A56" s="24" t="inlineStr">
        <is>
          <t>summary.unit_count</t>
        </is>
      </c>
      <c r="B56" s="5" t="inlineStr">
        <is>
          <t>334</t>
        </is>
      </c>
      <c r="C56" s="5" t="inlineStr">
        <is>
          <t>Sample Property RR 8.4.26.xlsx</t>
        </is>
      </c>
      <c r="D56" s="5" t="inlineStr">
        <is>
          <t>—</t>
        </is>
      </c>
      <c r="E56" s="5" t="inlineStr">
        <is>
          <t>derived</t>
        </is>
      </c>
      <c r="F56" s="5" t="inlineStr">
        <is>
          <t>rent_roll.units</t>
        </is>
      </c>
      <c r="G56" s="22" t="inlineStr">
        <is>
          <t>Counted from the rows of the uploaded rent roll.</t>
        </is>
      </c>
    </row>
    <row r="57">
      <c r="A57" s="24" t="inlineStr">
        <is>
          <t>summary.year_built</t>
        </is>
      </c>
      <c r="B57" s="5" t="inlineStr">
        <is>
          <t>1,981</t>
        </is>
      </c>
      <c r="C57" s="5" t="inlineStr">
        <is>
          <t>Sample Property Offering Memorandum.pdf</t>
        </is>
      </c>
      <c r="D57" s="5" t="inlineStr">
        <is>
          <t>p.10</t>
        </is>
      </c>
      <c r="E57" s="5" t="inlineStr">
        <is>
          <t>read</t>
        </is>
      </c>
      <c r="F57" s="12" t="n"/>
      <c r="G57" s="22" t="inlineStr">
        <is>
          <t>Y ear Built 1981</t>
        </is>
      </c>
    </row>
    <row r="58">
      <c r="A58" s="24" t="inlineStr">
        <is>
          <t>summary.zip</t>
        </is>
      </c>
      <c r="B58" s="5" t="inlineStr">
        <is>
          <t>85204</t>
        </is>
      </c>
      <c r="C58" s="5" t="inlineStr">
        <is>
          <t>Illustrative address</t>
        </is>
      </c>
      <c r="D58" s="5" t="inlineStr">
        <is>
          <t>—</t>
        </is>
      </c>
      <c r="E58" s="5" t="inlineStr">
        <is>
          <t>read</t>
        </is>
      </c>
      <c r="F58" s="12" t="n"/>
      <c r="G58" s="22" t="inlineStr">
        <is>
          <t>Illustrative address — not the asset's real location. The market tabs were pulled for this address on 2026-09-14.</t>
        </is>
      </c>
    </row>
    <row r="59">
      <c r="A59" s="24" t="inlineStr">
        <is>
          <t>supply.rings</t>
        </is>
      </c>
      <c r="B59" s="5" t="inlineStr">
        <is>
          <t>8 entries</t>
        </is>
      </c>
      <c r="C59" s="5" t="inlineStr">
        <is>
          <t>Public permit and entitlement records (the operator's supply pipeline), via the market-report service</t>
        </is>
      </c>
      <c r="D59" s="5" t="inlineStr">
        <is>
          <t>POST /report (format json)</t>
        </is>
      </c>
      <c r="E59" s="5" t="inlineStr">
        <is>
          <t>read</t>
        </is>
      </c>
      <c r="F59" s="12" t="n"/>
      <c r="G59" s="22" t="inlineStr">
        <is>
          <t>Projects and units by cumulative ring and tracked stage, counted from the service's project rows.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2026-09-14T00:00:00Z</dcterms:created>
  <dcterms:modified xsi:type="dcterms:W3CDTF">2026-09-14T00:00:00Z</dcterms:modified>
  <cp:lastModifiedBy>AI Underwriting Pipeline</cp:lastModifiedBy>
</cp:coreProperties>
</file>