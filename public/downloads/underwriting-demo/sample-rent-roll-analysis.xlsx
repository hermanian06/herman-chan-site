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9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3" fillId="4" borderId="0" pivotButton="0" quotePrefix="0" xfId="0"/>
    <xf numFmtId="49" fontId="3" fillId="4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8" t="n"/>
      <c r="H11" s="8" t="n"/>
      <c r="I11" s="5" t="inlineStr"/>
      <c r="J11" s="7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9" t="inlineStr">
        <is>
          <t>n/a</t>
        </is>
      </c>
      <c r="H46" s="8" t="n">
        <v>46031</v>
      </c>
      <c r="I46" s="5" t="inlineStr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8" t="n"/>
      <c r="H76" s="8" t="n"/>
      <c r="I76" s="5" t="inlineStr"/>
      <c r="J76" s="7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8" t="n"/>
      <c r="H126" s="8" t="n"/>
      <c r="I126" s="5" t="inlineStr"/>
      <c r="J126" s="7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9" customWidth="1" min="5" max="5"/>
    <col width="11" customWidth="1" min="6" max="6"/>
    <col width="9" customWidth="1" min="7" max="7"/>
    <col width="18" customWidth="1" min="8" max="8"/>
    <col width="15" customWidth="1" min="9" max="9"/>
    <col width="15" customWidth="1" min="10" max="10"/>
    <col width="21" customWidth="1" min="11" max="11"/>
    <col width="46" customWidth="1" min="12" max="12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Knobs</t>
        </is>
      </c>
      <c r="B5" s="10" t="n"/>
      <c r="C5" s="10" t="n"/>
    </row>
    <row r="6">
      <c r="A6" s="5" t="inlineStr">
        <is>
          <t>As-of date</t>
        </is>
      </c>
      <c r="B6" s="8" t="n">
        <v>46203</v>
      </c>
      <c r="C6" s="11" t="inlineStr">
        <is>
          <t>Every window below is measured from this date, never from today.</t>
        </is>
      </c>
    </row>
    <row r="7">
      <c r="A7" s="5" t="inlineStr">
        <is>
          <t>Lookback months</t>
        </is>
      </c>
      <c r="B7" s="7" t="n">
        <v>12</v>
      </c>
      <c r="C7" s="11" t="inlineStr">
        <is>
          <t>How far back a lease counts as recent.</t>
        </is>
      </c>
    </row>
    <row r="8">
      <c r="A8" s="5" t="inlineStr">
        <is>
          <t>New-tenant tolerance (days)</t>
        </is>
      </c>
      <c r="B8" s="7" t="n">
        <v>31</v>
      </c>
      <c r="C8" s="11" t="inlineStr">
        <is>
          <t>How far lease start may sit from move-in before a lease stops counting as a new tenant.</t>
        </is>
      </c>
    </row>
    <row r="10">
      <c r="A10" s="4" t="inlineStr">
        <is>
          <t>Floor plan</t>
        </is>
      </c>
      <c r="B10" s="4" t="inlineStr">
        <is>
          <t>Beds</t>
        </is>
      </c>
      <c r="C10" s="4" t="inlineStr">
        <is>
          <t>Baths</t>
        </is>
      </c>
      <c r="D10" s="4" t="inlineStr">
        <is>
          <t>Avg SF</t>
        </is>
      </c>
      <c r="E10" s="4" t="inlineStr">
        <is>
          <t>Units</t>
        </is>
      </c>
      <c r="F10" s="4" t="inlineStr">
        <is>
          <t>Occupied</t>
        </is>
      </c>
      <c r="G10" s="4" t="inlineStr">
        <is>
          <t>Vacant</t>
        </is>
      </c>
      <c r="H10" s="4" t="inlineStr">
        <is>
          <t>Avg in-place rent</t>
        </is>
      </c>
      <c r="I10" s="4" t="inlineStr">
        <is>
          <t>New-lease rent</t>
        </is>
      </c>
      <c r="J10" s="4" t="inlineStr">
        <is>
          <t>New-lease count</t>
        </is>
      </c>
      <c r="K10" s="4" t="inlineStr">
        <is>
          <t>Market rent for model</t>
        </is>
      </c>
      <c r="L10" s="4" t="inlineStr">
        <is>
          <t>Basis</t>
        </is>
      </c>
    </row>
    <row r="11">
      <c r="A11" s="5" t="inlineStr">
        <is>
          <t>A1</t>
        </is>
      </c>
      <c r="B11" s="6" t="n">
        <v>1</v>
      </c>
      <c r="C11" s="6" t="n">
        <v>1</v>
      </c>
      <c r="D11" s="9">
        <f>IFERROR(AVERAGEIF('Rent Roll'!$B$6:$B$185,$A11,'Rent Roll'!$E$6:$E$185),"")</f>
        <v/>
      </c>
      <c r="E11" s="9">
        <f>COUNTIF('Rent Roll'!$B$6:$B$185,$A11)</f>
        <v/>
      </c>
      <c r="F11" s="9">
        <f>COUNTIFS('Rent Roll'!$B$6:$B$185,$A11,'Rent Roll'!$F$6:$F$185,"Occupied")</f>
        <v/>
      </c>
      <c r="G11" s="9">
        <f>COUNTIFS('Rent Roll'!$B$6:$B$185,$A11,'Rent Roll'!$F$6:$F$185,"Vacant")</f>
        <v/>
      </c>
      <c r="H11" s="9">
        <f>IFERROR(AVERAGEIFS('Rent Roll'!$J$6:$J$185,'Rent Roll'!$B$6:$B$185,$A11,'Rent Roll'!$F$6:$F$185,"Occupied"),"")</f>
        <v/>
      </c>
      <c r="I11" s="7" t="n">
        <v>1510.818181818182</v>
      </c>
      <c r="J11" s="7" t="n">
        <v>11</v>
      </c>
      <c r="K11" s="7" t="n">
        <v>1510.818181818182</v>
      </c>
      <c r="L11" s="5" t="inlineStr">
        <is>
          <t>New leases (n=11)</t>
        </is>
      </c>
    </row>
    <row r="12">
      <c r="A12" s="5" t="inlineStr">
        <is>
          <t>A2</t>
        </is>
      </c>
      <c r="B12" s="6" t="n">
        <v>1</v>
      </c>
      <c r="C12" s="6" t="n">
        <v>1</v>
      </c>
      <c r="D12" s="9">
        <f>IFERROR(AVERAGEIF('Rent Roll'!$B$6:$B$185,$A12,'Rent Roll'!$E$6:$E$185),"")</f>
        <v/>
      </c>
      <c r="E12" s="9">
        <f>COUNTIF('Rent Roll'!$B$6:$B$185,$A12)</f>
        <v/>
      </c>
      <c r="F12" s="9">
        <f>COUNTIFS('Rent Roll'!$B$6:$B$185,$A12,'Rent Roll'!$F$6:$F$185,"Occupied")</f>
        <v/>
      </c>
      <c r="G12" s="9">
        <f>COUNTIFS('Rent Roll'!$B$6:$B$185,$A12,'Rent Roll'!$F$6:$F$185,"Vacant")</f>
        <v/>
      </c>
      <c r="H12" s="9">
        <f>IFERROR(AVERAGEIFS('Rent Roll'!$J$6:$J$185,'Rent Roll'!$B$6:$B$185,$A12,'Rent Roll'!$F$6:$F$185,"Occupied"),"")</f>
        <v/>
      </c>
      <c r="I12" s="7" t="n">
        <v>1583.285714285714</v>
      </c>
      <c r="J12" s="7" t="n">
        <v>7</v>
      </c>
      <c r="K12" s="7" t="n">
        <v>1583.285714285714</v>
      </c>
      <c r="L12" s="5" t="inlineStr">
        <is>
          <t>New leases (n=7)</t>
        </is>
      </c>
    </row>
    <row r="13">
      <c r="A13" s="5" t="inlineStr">
        <is>
          <t>B1</t>
        </is>
      </c>
      <c r="B13" s="6" t="n">
        <v>2</v>
      </c>
      <c r="C13" s="6" t="n">
        <v>2</v>
      </c>
      <c r="D13" s="9">
        <f>IFERROR(AVERAGEIF('Rent Roll'!$B$6:$B$185,$A13,'Rent Roll'!$E$6:$E$185),"")</f>
        <v/>
      </c>
      <c r="E13" s="9">
        <f>COUNTIF('Rent Roll'!$B$6:$B$185,$A13)</f>
        <v/>
      </c>
      <c r="F13" s="9">
        <f>COUNTIFS('Rent Roll'!$B$6:$B$185,$A13,'Rent Roll'!$F$6:$F$185,"Occupied")</f>
        <v/>
      </c>
      <c r="G13" s="9">
        <f>COUNTIFS('Rent Roll'!$B$6:$B$185,$A13,'Rent Roll'!$F$6:$F$185,"Vacant")</f>
        <v/>
      </c>
      <c r="H13" s="9">
        <f>IFERROR(AVERAGEIFS('Rent Roll'!$J$6:$J$185,'Rent Roll'!$B$6:$B$185,$A13,'Rent Roll'!$F$6:$F$185,"Occupied"),"")</f>
        <v/>
      </c>
      <c r="I13" s="7" t="n">
        <v>1831.909090909091</v>
      </c>
      <c r="J13" s="7" t="n">
        <v>11</v>
      </c>
      <c r="K13" s="7" t="n">
        <v>1831.909090909091</v>
      </c>
      <c r="L13" s="5" t="inlineStr">
        <is>
          <t>New leases (n=11)</t>
        </is>
      </c>
    </row>
    <row r="14">
      <c r="A14" s="5" t="inlineStr">
        <is>
          <t>B2</t>
        </is>
      </c>
      <c r="B14" s="6" t="n">
        <v>2</v>
      </c>
      <c r="C14" s="6" t="n">
        <v>2</v>
      </c>
      <c r="D14" s="9">
        <f>IFERROR(AVERAGEIF('Rent Roll'!$B$6:$B$185,$A14,'Rent Roll'!$E$6:$E$185),"")</f>
        <v/>
      </c>
      <c r="E14" s="9">
        <f>COUNTIF('Rent Roll'!$B$6:$B$185,$A14)</f>
        <v/>
      </c>
      <c r="F14" s="9">
        <f>COUNTIFS('Rent Roll'!$B$6:$B$185,$A14,'Rent Roll'!$F$6:$F$185,"Occupied")</f>
        <v/>
      </c>
      <c r="G14" s="9">
        <f>COUNTIFS('Rent Roll'!$B$6:$B$185,$A14,'Rent Roll'!$F$6:$F$185,"Vacant")</f>
        <v/>
      </c>
      <c r="H14" s="9">
        <f>IFERROR(AVERAGEIFS('Rent Roll'!$J$6:$J$185,'Rent Roll'!$B$6:$B$185,$A14,'Rent Roll'!$F$6:$F$185,"Occupied"),"")</f>
        <v/>
      </c>
      <c r="I14" s="7" t="n">
        <v>1913</v>
      </c>
      <c r="J14" s="7" t="n">
        <v>9</v>
      </c>
      <c r="K14" s="7" t="n">
        <v>1913</v>
      </c>
      <c r="L14" s="5" t="inlineStr">
        <is>
          <t>New leases (n=9)</t>
        </is>
      </c>
    </row>
    <row r="15">
      <c r="A15" s="5" t="inlineStr">
        <is>
          <t>C1</t>
        </is>
      </c>
      <c r="B15" s="6" t="n">
        <v>3</v>
      </c>
      <c r="C15" s="6" t="n">
        <v>2</v>
      </c>
      <c r="D15" s="9">
        <f>IFERROR(AVERAGEIF('Rent Roll'!$B$6:$B$185,$A15,'Rent Roll'!$E$6:$E$185),"")</f>
        <v/>
      </c>
      <c r="E15" s="9">
        <f>COUNTIF('Rent Roll'!$B$6:$B$185,$A15)</f>
        <v/>
      </c>
      <c r="F15" s="9">
        <f>COUNTIFS('Rent Roll'!$B$6:$B$185,$A15,'Rent Roll'!$F$6:$F$185,"Occupied")</f>
        <v/>
      </c>
      <c r="G15" s="9">
        <f>COUNTIFS('Rent Roll'!$B$6:$B$185,$A15,'Rent Roll'!$F$6:$F$185,"Vacant")</f>
        <v/>
      </c>
      <c r="H15" s="9">
        <f>IFERROR(AVERAGEIFS('Rent Roll'!$J$6:$J$185,'Rent Roll'!$B$6:$B$185,$A15,'Rent Roll'!$F$6:$F$185,"Occupied"),"")</f>
        <v/>
      </c>
      <c r="I15" s="7" t="n">
        <v>2156.5</v>
      </c>
      <c r="J15" s="7" t="n">
        <v>6</v>
      </c>
      <c r="K15" s="7" t="n">
        <v>2156.5</v>
      </c>
      <c r="L15" s="5" t="inlineStr">
        <is>
          <t>New leases (n=6)</t>
        </is>
      </c>
    </row>
    <row r="16">
      <c r="A16" s="5" t="inlineStr">
        <is>
          <t>Cypress TH</t>
        </is>
      </c>
      <c r="B16" s="6" t="n">
        <v>3</v>
      </c>
      <c r="C16" s="6" t="n">
        <v>2.5</v>
      </c>
      <c r="D16" s="9">
        <f>IFERROR(AVERAGEIF('Rent Roll'!$B$6:$B$185,$A16,'Rent Roll'!$E$6:$E$185),"")</f>
        <v/>
      </c>
      <c r="E16" s="9">
        <f>COUNTIF('Rent Roll'!$B$6:$B$185,$A16)</f>
        <v/>
      </c>
      <c r="F16" s="9">
        <f>COUNTIFS('Rent Roll'!$B$6:$B$185,$A16,'Rent Roll'!$F$6:$F$185,"Occupied")</f>
        <v/>
      </c>
      <c r="G16" s="9">
        <f>COUNTIFS('Rent Roll'!$B$6:$B$185,$A16,'Rent Roll'!$F$6:$F$185,"Vacant")</f>
        <v/>
      </c>
      <c r="H16" s="9">
        <f>IFERROR(AVERAGEIFS('Rent Roll'!$J$6:$J$185,'Rent Roll'!$B$6:$B$185,$A16,'Rent Roll'!$F$6:$F$185,"Occupied"),"")</f>
        <v/>
      </c>
      <c r="I16" s="7" t="n"/>
      <c r="J16" s="7" t="n">
        <v>0</v>
      </c>
      <c r="K16" s="7" t="n">
        <v>2334.5</v>
      </c>
      <c r="L16" s="5" t="inlineStr">
        <is>
          <t>In-place — no new leases in window</t>
        </is>
      </c>
    </row>
    <row r="17">
      <c r="A17" s="12" t="inlineStr">
        <is>
          <t>Total / weighted</t>
        </is>
      </c>
      <c r="B17" s="12" t="inlineStr"/>
      <c r="C17" s="12" t="inlineStr"/>
      <c r="D17" s="13">
        <f>IFERROR(SUMPRODUCT($E$11:$E$16,$D$11:$D$16)/SUM($E$11:$E$16),"")</f>
        <v/>
      </c>
      <c r="E17" s="13">
        <f>SUM(E11:E16)</f>
        <v/>
      </c>
      <c r="F17" s="13">
        <f>SUM(F11:F16)</f>
        <v/>
      </c>
      <c r="G17" s="13">
        <f>SUM(G11:G16)</f>
        <v/>
      </c>
      <c r="H17" s="13">
        <f>IFERROR(SUMPRODUCT($F$11:$F$16,$H$11:$H$16)/SUM($F$11:$F$16),"")</f>
        <v/>
      </c>
      <c r="I17" s="12" t="inlineStr"/>
      <c r="J17" s="13">
        <f>SUM(J11:J16)</f>
        <v/>
      </c>
      <c r="K17" s="13">
        <f>IFERROR(SUMPRODUCT($E$11:$E$16,$K$11:$K$16)/SUM($E$11:$E$16),"")</f>
        <v/>
      </c>
      <c r="L17" s="12" t="inlineStr">
        <is>
          <t>In-place weighted by occupied units; market rent weighted by total units.</t>
        </is>
      </c>
    </row>
    <row r="19">
      <c r="A19" s="2" t="inlineStr">
        <is>
          <t>Market rent for model is the new-lease average where the plan has new leases inside the lookback window, and the in-place average otherwise — the Basis column says which. There is no blend of new and renewal rents anywhere in this output: a blended average is a renewal average wearing a new-lease label, and it understates trade-out on every deal it touches.</t>
        </is>
      </c>
    </row>
    <row r="20">
      <c r="A20" s="2" t="inlineStr">
        <is>
          <t>New-lease rent, its count, and market rent for model are values rather than formulas on purpose: they depend on the window above, and a formula would re-window itself the day this file is reopened.</t>
        </is>
      </c>
    </row>
    <row r="22">
      <c r="A22" s="10" t="inlineStr">
        <is>
          <t>Occupancy and vacancy</t>
        </is>
      </c>
      <c r="B22" s="10" t="n"/>
      <c r="C22" s="10" t="n"/>
    </row>
    <row r="23">
      <c r="A23" s="5" t="inlineStr">
        <is>
          <t>Total units</t>
        </is>
      </c>
      <c r="B23" s="9">
        <f>E17</f>
        <v/>
      </c>
    </row>
    <row r="24">
      <c r="A24" s="5" t="inlineStr">
        <is>
          <t>Occupied units</t>
        </is>
      </c>
      <c r="B24" s="9">
        <f>F17</f>
        <v/>
      </c>
    </row>
    <row r="25">
      <c r="A25" s="5" t="inlineStr">
        <is>
          <t>Vacant units</t>
        </is>
      </c>
      <c r="B25" s="9">
        <f>G17</f>
        <v/>
      </c>
    </row>
    <row r="26">
      <c r="A26" s="5" t="inlineStr">
        <is>
          <t>Non-revenue units</t>
        </is>
      </c>
      <c r="B26" s="9">
        <f>B23-B24-B25</f>
        <v/>
      </c>
      <c r="C26" s="11" t="inlineStr">
        <is>
          <t>Models and down units: in the stock, not in either occupancy bucket.</t>
        </is>
      </c>
    </row>
    <row r="27">
      <c r="A27" s="5" t="inlineStr">
        <is>
          <t>Occupancy</t>
        </is>
      </c>
      <c r="B27" s="9">
        <f>IFERROR(B24/B23,"")</f>
        <v/>
      </c>
    </row>
    <row r="28">
      <c r="A28" s="5" t="inlineStr">
        <is>
          <t>Vacancy</t>
        </is>
      </c>
      <c r="B28" s="9">
        <f>IFERROR(1-B24/B23,"")</f>
        <v/>
      </c>
      <c r="C28" s="11" t="inlineStr">
        <is>
          <t>The physical-vacancy input a model consumes.</t>
        </is>
      </c>
    </row>
    <row r="29">
      <c r="A29" s="5" t="inlineStr">
        <is>
          <t>Weighted average in-place rent</t>
        </is>
      </c>
      <c r="B29" s="9">
        <f>H17</f>
        <v/>
      </c>
    </row>
    <row r="30">
      <c r="A30" s="5" t="inlineStr">
        <is>
          <t>Weighted average market rent for model</t>
        </is>
      </c>
      <c r="B30" s="9">
        <f>K17</f>
        <v/>
      </c>
    </row>
    <row r="32">
      <c r="A32" s="5" t="inlineStr">
        <is>
          <t>Move-ins in window</t>
        </is>
      </c>
      <c r="B32" s="7" t="n">
        <v>45</v>
      </c>
      <c r="C32" s="11" t="inlineStr">
        <is>
          <t>Counted by move-in date over the trailing 12 months.</t>
        </is>
      </c>
    </row>
    <row r="33">
      <c r="A33" s="5" t="inlineStr">
        <is>
          <t>Annualized turnover</t>
        </is>
      </c>
      <c r="B33" s="14" t="n">
        <v>0.25</v>
      </c>
      <c r="C33" s="11" t="inlineStr">
        <is>
          <t>Move-ins in the window, annualized against unit count.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9">
        <f>IFERROR(D6-C6,"")</f>
        <v/>
      </c>
      <c r="F6" s="9">
        <f>IFERROR((D6-C6)/C6,"")</f>
        <v/>
      </c>
      <c r="G6" s="7" t="n">
        <v>1774</v>
      </c>
      <c r="H6" s="9">
        <f>IFERROR(G6-C6,"")</f>
        <v/>
      </c>
      <c r="I6" s="9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9">
        <f>IFERROR(D7-C7,"")</f>
        <v/>
      </c>
      <c r="F7" s="9">
        <f>IFERROR((D7-C7)/C7,"")</f>
        <v/>
      </c>
      <c r="G7" s="7" t="n">
        <v>1745</v>
      </c>
      <c r="H7" s="9">
        <f>IFERROR(G7-C7,"")</f>
        <v/>
      </c>
      <c r="I7" s="9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9">
        <f>IFERROR(D8-C8,"")</f>
        <v/>
      </c>
      <c r="F8" s="9">
        <f>IFERROR((D8-C8)/C8,"")</f>
        <v/>
      </c>
      <c r="G8" s="7" t="n">
        <v>1790</v>
      </c>
      <c r="H8" s="9">
        <f>IFERROR(G8-C8,"")</f>
        <v/>
      </c>
      <c r="I8" s="9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2026-09-01T16:01:19Z</dcterms:created>
  <dcterms:modified xsi:type="dcterms:W3CDTF">2026-09-01T16:01:19Z</dcterms:modified>
  <cp:lastModifiedBy>AI Underwriting Pipeline</cp:lastModifiedBy>
</cp:coreProperties>
</file>