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0" fontId="4" fillId="0" borderId="0" applyAlignment="1" pivotButton="0" quotePrefix="0" xfId="0">
      <alignment vertical="top" wrapText="1"/>
    </xf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Summary'!$D$9:$D$14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Summary'!$E$9:$E$14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Summary'!$F$9:$F$14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Summary'!$B$9:$B$14</f>
            </numRef>
          </cat>
          <val>
            <numRef>
              <f>'Unit Mix Summary'!$H$9:$H$14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10" t="n"/>
      <c r="H11" s="10" t="n"/>
      <c r="I11" s="10" t="n"/>
      <c r="J11" s="10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5" t="inlineStr">
        <is>
          <t>n/a</t>
        </is>
      </c>
      <c r="H46" s="8" t="n">
        <v>46031</v>
      </c>
      <c r="I46" s="10" t="n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46203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A1</t>
        </is>
      </c>
      <c r="C9" s="7">
        <f>IFERROR(AVERAGEIF('Rent Roll'!$B$6:$B$185,$B9,'Rent Roll'!$E$6:$E$185),"")</f>
        <v/>
      </c>
      <c r="D9" s="7">
        <f>COUNTIF('Rent Roll'!$B$6:$B$185,$B9)</f>
        <v/>
      </c>
      <c r="E9" s="7">
        <f>IFERROR(AVERAGEIFS('Rent Roll'!$J$6:$J$185,'Rent Roll'!$B$6:$B$185,$B9,'Rent Roll'!$F$6:$F$185,"Occupied"),"")</f>
        <v/>
      </c>
      <c r="F9" s="7" t="n">
        <v>1510.818181818182</v>
      </c>
      <c r="G9" s="7" t="n">
        <v>11</v>
      </c>
      <c r="H9" s="7" t="n">
        <v>1510.818181818182</v>
      </c>
      <c r="I9" s="5" t="inlineStr">
        <is>
          <t>New leases (n=11)</t>
        </is>
      </c>
    </row>
    <row r="10">
      <c r="A10" s="6" t="n">
        <v>1</v>
      </c>
      <c r="B10" s="5" t="inlineStr">
        <is>
          <t>A2</t>
        </is>
      </c>
      <c r="C10" s="7">
        <f>IFERROR(AVERAGEIF('Rent Roll'!$B$6:$B$185,$B10,'Rent Roll'!$E$6:$E$185),"")</f>
        <v/>
      </c>
      <c r="D10" s="7">
        <f>COUNTIF('Rent Roll'!$B$6:$B$185,$B10)</f>
        <v/>
      </c>
      <c r="E10" s="7">
        <f>IFERROR(AVERAGEIFS('Rent Roll'!$J$6:$J$185,'Rent Roll'!$B$6:$B$185,$B10,'Rent Roll'!$F$6:$F$185,"Occupied"),"")</f>
        <v/>
      </c>
      <c r="F10" s="7" t="n">
        <v>1583.285714285714</v>
      </c>
      <c r="G10" s="7" t="n">
        <v>7</v>
      </c>
      <c r="H10" s="7" t="n">
        <v>1583.285714285714</v>
      </c>
      <c r="I10" s="5" t="inlineStr">
        <is>
          <t>New leases (n=7)</t>
        </is>
      </c>
    </row>
    <row r="11">
      <c r="A11" s="6" t="n">
        <v>2</v>
      </c>
      <c r="B11" s="5" t="inlineStr">
        <is>
          <t>B1</t>
        </is>
      </c>
      <c r="C11" s="7">
        <f>IFERROR(AVERAGEIF('Rent Roll'!$B$6:$B$185,$B11,'Rent Roll'!$E$6:$E$185),"")</f>
        <v/>
      </c>
      <c r="D11" s="7">
        <f>COUNTIF('Rent Roll'!$B$6:$B$185,$B11)</f>
        <v/>
      </c>
      <c r="E11" s="7">
        <f>IFERROR(AVERAGEIFS('Rent Roll'!$J$6:$J$185,'Rent Roll'!$B$6:$B$185,$B11,'Rent Roll'!$F$6:$F$185,"Occupied"),"")</f>
        <v/>
      </c>
      <c r="F11" s="7" t="n">
        <v>1831.909090909091</v>
      </c>
      <c r="G11" s="7" t="n">
        <v>11</v>
      </c>
      <c r="H11" s="7" t="n">
        <v>1831.909090909091</v>
      </c>
      <c r="I11" s="5" t="inlineStr">
        <is>
          <t>New leases (n=11)</t>
        </is>
      </c>
    </row>
    <row r="12">
      <c r="A12" s="6" t="n">
        <v>2</v>
      </c>
      <c r="B12" s="5" t="inlineStr">
        <is>
          <t>B2</t>
        </is>
      </c>
      <c r="C12" s="7">
        <f>IFERROR(AVERAGEIF('Rent Roll'!$B$6:$B$185,$B12,'Rent Roll'!$E$6:$E$185),"")</f>
        <v/>
      </c>
      <c r="D12" s="7">
        <f>COUNTIF('Rent Roll'!$B$6:$B$185,$B12)</f>
        <v/>
      </c>
      <c r="E12" s="7">
        <f>IFERROR(AVERAGEIFS('Rent Roll'!$J$6:$J$185,'Rent Roll'!$B$6:$B$185,$B12,'Rent Roll'!$F$6:$F$185,"Occupied"),"")</f>
        <v/>
      </c>
      <c r="F12" s="7" t="n">
        <v>1913</v>
      </c>
      <c r="G12" s="7" t="n">
        <v>9</v>
      </c>
      <c r="H12" s="7" t="n">
        <v>1913</v>
      </c>
      <c r="I12" s="5" t="inlineStr">
        <is>
          <t>New leases (n=9)</t>
        </is>
      </c>
    </row>
    <row r="13">
      <c r="A13" s="6" t="n">
        <v>3</v>
      </c>
      <c r="B13" s="5" t="inlineStr">
        <is>
          <t>C1</t>
        </is>
      </c>
      <c r="C13" s="7">
        <f>IFERROR(AVERAGEIF('Rent Roll'!$B$6:$B$185,$B13,'Rent Roll'!$E$6:$E$185),"")</f>
        <v/>
      </c>
      <c r="D13" s="7">
        <f>COUNTIF('Rent Roll'!$B$6:$B$185,$B13)</f>
        <v/>
      </c>
      <c r="E13" s="7">
        <f>IFERROR(AVERAGEIFS('Rent Roll'!$J$6:$J$185,'Rent Roll'!$B$6:$B$185,$B13,'Rent Roll'!$F$6:$F$185,"Occupied"),"")</f>
        <v/>
      </c>
      <c r="F13" s="7" t="n">
        <v>2156.5</v>
      </c>
      <c r="G13" s="7" t="n">
        <v>6</v>
      </c>
      <c r="H13" s="7" t="n">
        <v>2156.5</v>
      </c>
      <c r="I13" s="5" t="inlineStr">
        <is>
          <t>New leases (n=6)</t>
        </is>
      </c>
    </row>
    <row r="14">
      <c r="A14" s="6" t="n">
        <v>3</v>
      </c>
      <c r="B14" s="5" t="inlineStr">
        <is>
          <t>Cypress TH</t>
        </is>
      </c>
      <c r="C14" s="7">
        <f>IFERROR(AVERAGEIF('Rent Roll'!$B$6:$B$185,$B14,'Rent Roll'!$E$6:$E$185),"")</f>
        <v/>
      </c>
      <c r="D14" s="7">
        <f>COUNTIF('Rent Roll'!$B$6:$B$185,$B14)</f>
        <v/>
      </c>
      <c r="E14" s="7">
        <f>IFERROR(AVERAGEIFS('Rent Roll'!$J$6:$J$185,'Rent Roll'!$B$6:$B$185,$B14,'Rent Roll'!$F$6:$F$185,"Occupied"),"")</f>
        <v/>
      </c>
      <c r="F14" s="10" t="n"/>
      <c r="G14" s="7" t="n">
        <v>0</v>
      </c>
      <c r="H14" s="7" t="n">
        <v>2334.5</v>
      </c>
      <c r="I14" s="5" t="inlineStr">
        <is>
          <t>In-place — no new leases in window</t>
        </is>
      </c>
    </row>
    <row r="16">
      <c r="A16" s="14" t="n"/>
      <c r="B16" s="15" t="inlineStr">
        <is>
          <t>TOTAL</t>
        </is>
      </c>
      <c r="C16" s="16">
        <f>IFERROR(SUMPRODUCT($D$9:$D$14,$C$9:$C$14)/SUM($D$9:$D$14),"")</f>
        <v/>
      </c>
      <c r="D16" s="16">
        <f>SUM(D9:D14)</f>
        <v/>
      </c>
      <c r="E16" s="16">
        <f>IFERROR(SUMPRODUCT($D$9:$D$14,$E$9:$E$14)/SUM($D$9:$D$14),"")</f>
        <v/>
      </c>
      <c r="F16" s="14" t="n"/>
      <c r="G16" s="16">
        <f>SUM(G9:G14)</f>
        <v/>
      </c>
      <c r="H16" s="16">
        <f>IFERROR(SUMPRODUCT($D$9:$D$14,$H$9:$H$14)/SUM($D$9:$D$14),"")</f>
        <v/>
      </c>
      <c r="I16" s="15" t="inlineStr">
        <is>
          <t>Weighted by unit count.</t>
        </is>
      </c>
    </row>
    <row r="18">
      <c r="A18" s="17" t="inlineStr">
        <is>
          <t>Occupancy &amp; vacancy</t>
        </is>
      </c>
      <c r="B18" s="17" t="n"/>
      <c r="C18" s="17" t="n"/>
    </row>
    <row r="19">
      <c r="A19" s="5" t="inlineStr">
        <is>
          <t>Total units</t>
        </is>
      </c>
      <c r="B19" s="7">
        <f>D16</f>
        <v/>
      </c>
    </row>
    <row r="20">
      <c r="A20" s="5" t="inlineStr">
        <is>
          <t>Occupied units</t>
        </is>
      </c>
      <c r="B20" s="7" t="n">
        <v>177</v>
      </c>
    </row>
    <row r="21">
      <c r="A21" s="5" t="inlineStr">
        <is>
          <t>Vacant units</t>
        </is>
      </c>
      <c r="B21" s="7" t="n">
        <v>2</v>
      </c>
    </row>
    <row r="22">
      <c r="A22" s="5" t="inlineStr">
        <is>
          <t>Non-revenue units</t>
        </is>
      </c>
      <c r="B22" s="7" t="n">
        <v>1</v>
      </c>
      <c r="C22" s="18" t="inlineStr">
        <is>
          <t>Models and down units: in the stock, in neither occupancy bucket.</t>
        </is>
      </c>
    </row>
    <row r="23">
      <c r="A23" s="5" t="inlineStr">
        <is>
          <t>Occupancy</t>
        </is>
      </c>
      <c r="B23" s="19">
        <f>IFERROR(B20/B19,"")</f>
        <v/>
      </c>
    </row>
    <row r="24">
      <c r="A24" s="5" t="inlineStr">
        <is>
          <t>Vacancy</t>
        </is>
      </c>
      <c r="B24" s="19">
        <f>IFERROR(1-B20/B19,"")</f>
        <v/>
      </c>
      <c r="C24" s="18" t="inlineStr">
        <is>
          <t>The physical-vacancy input a model consumes.</t>
        </is>
      </c>
    </row>
    <row r="26">
      <c r="A26" s="17" t="inlineStr">
        <is>
          <t>Annualised turnover rate</t>
        </is>
      </c>
      <c r="B26" s="17" t="n"/>
      <c r="C26" s="17" t="n"/>
    </row>
    <row r="27">
      <c r="A27" s="5" t="inlineStr">
        <is>
          <t>Annualised turnover</t>
        </is>
      </c>
      <c r="B27" s="19" t="n">
        <v>0.25</v>
      </c>
      <c r="C27" s="18" t="inlineStr">
        <is>
          <t>Move-ins in the trailing 12 months, annualised against unit count.</t>
        </is>
      </c>
    </row>
    <row r="29">
      <c r="A29" s="17" t="inlineStr">
        <is>
          <t>New move-ins</t>
        </is>
      </c>
      <c r="B29" s="17" t="n"/>
      <c r="C29" s="17" t="n"/>
    </row>
    <row r="30">
      <c r="A30" s="5" t="inlineStr">
        <is>
          <t>Move-ins in window</t>
        </is>
      </c>
      <c r="B30" s="7" t="n">
        <v>45</v>
      </c>
      <c r="C30" s="18" t="inlineStr">
        <is>
          <t>Counted by MOVE-IN date, never by lease start — a renewal stamps a fresh lease start against a resident who moved in years ago.</t>
        </is>
      </c>
    </row>
    <row r="31">
      <c r="A31" s="5" t="inlineStr">
        <is>
          <t>Window (months)</t>
        </is>
      </c>
      <c r="B31" s="7" t="n">
        <v>12</v>
      </c>
    </row>
    <row r="32">
      <c r="A32" s="5" t="inlineStr">
        <is>
          <t>Share of units</t>
        </is>
      </c>
      <c r="B32" s="19" t="n">
        <v>0.25</v>
      </c>
    </row>
    <row r="34">
      <c r="A34" s="17" t="inlineStr">
        <is>
          <t>Notes</t>
        </is>
      </c>
      <c r="B34" s="17" t="n"/>
      <c r="C34" s="17" t="n"/>
    </row>
    <row r="35" ht="46" customHeight="1">
      <c r="A35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36" ht="32" customHeight="1">
      <c r="A36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8" customWidth="1" min="4" max="4"/>
    <col width="20" customWidth="1" min="5" max="5"/>
    <col width="25" customWidth="1" min="6" max="6"/>
    <col width="22" customWidth="1" min="7" max="7"/>
    <col width="22" customWidth="1" min="8" max="8"/>
    <col width="25" customWidth="1" min="9" max="9"/>
  </cols>
  <sheetData>
    <row r="1">
      <c r="A1" s="1" t="inlineStr">
        <is>
          <t>Lease trade-out</t>
        </is>
      </c>
    </row>
    <row r="2">
      <c r="A2" s="2" t="inlineStr">
        <is>
          <t>Fixture Park — as of 2026-06-30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Cohort</t>
        </is>
      </c>
      <c r="B5" s="4" t="inlineStr">
        <is>
          <t>Leases</t>
        </is>
      </c>
      <c r="C5" s="4" t="inlineStr">
        <is>
          <t>Prior rent</t>
        </is>
      </c>
      <c r="D5" s="4" t="inlineStr">
        <is>
          <t>New rent (gross)</t>
        </is>
      </c>
      <c r="E5" s="4" t="inlineStr">
        <is>
          <t>Gross change ($)</t>
        </is>
      </c>
      <c r="F5" s="4" t="inlineStr">
        <is>
          <t>Gross change (%)</t>
        </is>
      </c>
      <c r="G5" s="4" t="inlineStr">
        <is>
          <t>New rent (effective)</t>
        </is>
      </c>
      <c r="H5" s="4" t="inlineStr">
        <is>
          <t>Effective change ($)</t>
        </is>
      </c>
      <c r="I5" s="4" t="inlineStr">
        <is>
          <t>Effective change (%)</t>
        </is>
      </c>
    </row>
    <row r="6">
      <c r="A6" s="5" t="inlineStr">
        <is>
          <t>New</t>
        </is>
      </c>
      <c r="B6" s="7" t="n">
        <v>46</v>
      </c>
      <c r="C6" s="7" t="n">
        <v>1706</v>
      </c>
      <c r="D6" s="7" t="n">
        <v>1812</v>
      </c>
      <c r="E6" s="7">
        <f>IFERROR(D6-C6,"")</f>
        <v/>
      </c>
      <c r="F6" s="19">
        <f>IFERROR((D6-C6)/C6,"")</f>
        <v/>
      </c>
      <c r="G6" s="7" t="n">
        <v>1774</v>
      </c>
      <c r="H6" s="7">
        <f>IFERROR(G6-C6,"")</f>
        <v/>
      </c>
      <c r="I6" s="19">
        <f>IFERROR((G6-C6)/C6,"")</f>
        <v/>
      </c>
    </row>
    <row r="7">
      <c r="A7" s="5" t="inlineStr">
        <is>
          <t>Renewal</t>
        </is>
      </c>
      <c r="B7" s="7" t="n">
        <v>88</v>
      </c>
      <c r="C7" s="7" t="n">
        <v>1698</v>
      </c>
      <c r="D7" s="7" t="n">
        <v>1745</v>
      </c>
      <c r="E7" s="7">
        <f>IFERROR(D7-C7,"")</f>
        <v/>
      </c>
      <c r="F7" s="19">
        <f>IFERROR((D7-C7)/C7,"")</f>
        <v/>
      </c>
      <c r="G7" s="7" t="n">
        <v>1745</v>
      </c>
      <c r="H7" s="7">
        <f>IFERROR(G7-C7,"")</f>
        <v/>
      </c>
      <c r="I7" s="19">
        <f>IFERROR((G7-C7)/C7,"")</f>
        <v/>
      </c>
    </row>
    <row r="8">
      <c r="A8" s="5" t="inlineStr">
        <is>
          <t>First generation</t>
        </is>
      </c>
      <c r="B8" s="7" t="n">
        <v>12</v>
      </c>
      <c r="C8" s="7" t="n">
        <v>0</v>
      </c>
      <c r="D8" s="7" t="n">
        <v>1836</v>
      </c>
      <c r="E8" s="7">
        <f>IFERROR(D8-C8,"")</f>
        <v/>
      </c>
      <c r="F8" s="19">
        <f>IFERROR((D8-C8)/C8,"")</f>
        <v/>
      </c>
      <c r="G8" s="7" t="n">
        <v>1790</v>
      </c>
      <c r="H8" s="7">
        <f>IFERROR(G8-C8,"")</f>
        <v/>
      </c>
      <c r="I8" s="19">
        <f>IFERROR((G8-C8)/C8,"")</f>
        <v/>
      </c>
    </row>
    <row r="9"/>
    <row r="10">
      <c r="A10" s="2" t="inlineStr">
        <is>
          <t>A first-generation lease has no prior rent, so its percentage change is undefined and reads blank rather than as a number divided by zero.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26" customWidth="1" min="3" max="3"/>
    <col width="11" customWidth="1" min="4" max="4"/>
    <col width="34" customWidth="1" min="5" max="5"/>
    <col width="62" customWidth="1" min="6" max="6"/>
  </cols>
  <sheetData>
    <row r="1">
      <c r="A1" s="1" t="inlineStr">
        <is>
          <t>Audit trail</t>
        </is>
      </c>
    </row>
    <row r="2">
      <c r="A2" s="2" t="inlineStr">
        <is>
          <t>Fixture Park — as of 2026-06-30</t>
        </is>
      </c>
    </row>
    <row r="3">
      <c r="A3" s="2" t="inlineStr">
        <is>
          <t>The rent roll, unit mix and trade-out.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42/42 (100%)</t>
        </is>
      </c>
    </row>
    <row r="8">
      <c r="A8" s="4" t="inlineStr">
        <is>
          <t>Value</t>
        </is>
      </c>
      <c r="B8" s="4" t="inlineStr">
        <is>
          <t>Source document</t>
        </is>
      </c>
      <c r="C8" s="4" t="inlineStr">
        <is>
          <t>Where in it</t>
        </is>
      </c>
      <c r="D8" s="4" t="inlineStr">
        <is>
          <t>How</t>
        </is>
      </c>
      <c r="E8" s="4" t="inlineStr">
        <is>
          <t>Built from</t>
        </is>
      </c>
      <c r="F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Synthetic rent roll export</t>
        </is>
      </c>
      <c r="C9" s="5" t="inlineStr">
        <is>
          <t>Rent Roll!A2</t>
        </is>
      </c>
      <c r="D9" s="5" t="inlineStr">
        <is>
          <t>read</t>
        </is>
      </c>
      <c r="E9" s="10" t="n"/>
      <c r="F9" s="22" t="n"/>
    </row>
    <row r="10">
      <c r="A10" s="21" t="inlineStr">
        <is>
          <t>rent_roll.lookback_months</t>
        </is>
      </c>
      <c r="B10" s="5" t="inlineStr">
        <is>
          <t>Supplied by the operator</t>
        </is>
      </c>
      <c r="C10" s="5" t="inlineStr">
        <is>
          <t>—</t>
        </is>
      </c>
      <c r="D10" s="5" t="inlineStr">
        <is>
          <t>read</t>
        </is>
      </c>
      <c r="E10" s="10" t="n"/>
      <c r="F10" s="23" t="inlineStr">
        <is>
          <t>Analysis knob.</t>
        </is>
      </c>
    </row>
    <row r="11">
      <c r="A11" s="21" t="inlineStr">
        <is>
          <t>rent_roll.new_tenant_tolerance_days</t>
        </is>
      </c>
      <c r="B11" s="5" t="inlineStr">
        <is>
          <t>Supplied by the operator</t>
        </is>
      </c>
      <c r="C11" s="5" t="inlineStr">
        <is>
          <t>—</t>
        </is>
      </c>
      <c r="D11" s="5" t="inlineStr">
        <is>
          <t>read</t>
        </is>
      </c>
      <c r="E11" s="10" t="n"/>
      <c r="F11" s="23" t="inlineStr">
        <is>
          <t>Analysis knob.</t>
        </is>
      </c>
    </row>
    <row r="12">
      <c r="A12" s="21" t="inlineStr">
        <is>
          <t>rent_roll.units</t>
        </is>
      </c>
      <c r="B12" s="5" t="inlineStr">
        <is>
          <t>Synthetic rent roll export</t>
        </is>
      </c>
      <c r="C12" s="5" t="inlineStr">
        <is>
          <t>Rent Roll!A4:K183</t>
        </is>
      </c>
      <c r="D12" s="5" t="inlineStr">
        <is>
          <t>read</t>
        </is>
      </c>
      <c r="E12" s="10" t="n"/>
      <c r="F12" s="23" t="inlineStr">
        <is>
          <t>Unit identifiers only; the source's resident-name column is never read.</t>
        </is>
      </c>
    </row>
    <row r="13">
      <c r="A13" s="21" t="inlineStr">
        <is>
          <t>summary.in_place_rent_avg</t>
        </is>
      </c>
      <c r="B13" s="5" t="inlineStr">
        <is>
          <t>Derived by the pipeline</t>
        </is>
      </c>
      <c r="C13" s="5" t="inlineStr">
        <is>
          <t>Unit Mix Summary!H</t>
        </is>
      </c>
      <c r="D13" s="5" t="inlineStr">
        <is>
          <t>computed</t>
        </is>
      </c>
      <c r="E13" s="5" t="inlineStr">
        <is>
          <t>rent_roll.units</t>
        </is>
      </c>
      <c r="F13" s="23" t="inlineStr">
        <is>
          <t>Occupied units, weighted.</t>
        </is>
      </c>
    </row>
    <row r="14">
      <c r="A14" s="21" t="inlineStr">
        <is>
          <t>summary.market_rent_for_model</t>
        </is>
      </c>
      <c r="B14" s="5" t="inlineStr">
        <is>
          <t>Derived by the pipeline</t>
        </is>
      </c>
      <c r="C14" s="5" t="inlineStr">
        <is>
          <t>Unit Mix Summary!K</t>
        </is>
      </c>
      <c r="D14" s="5" t="inlineStr">
        <is>
          <t>computed</t>
        </is>
      </c>
      <c r="E14" s="5" t="inlineStr">
        <is>
          <t>rent_roll.units</t>
        </is>
      </c>
      <c r="F14" s="23" t="inlineStr">
        <is>
          <t>New-lease average where a plan has new leases in the window, else in-place. Never a blend.</t>
        </is>
      </c>
    </row>
    <row r="15">
      <c r="A15" s="21" t="inlineStr">
        <is>
          <t>summary.unit_count</t>
        </is>
      </c>
      <c r="B15" s="5" t="inlineStr">
        <is>
          <t>Synthetic rent roll export</t>
        </is>
      </c>
      <c r="C15" s="5" t="inlineStr">
        <is>
          <t>Rent Roll!A:A</t>
        </is>
      </c>
      <c r="D15" s="5" t="inlineStr">
        <is>
          <t>derived</t>
        </is>
      </c>
      <c r="E15" s="5" t="inlineStr">
        <is>
          <t>rent_roll.units</t>
        </is>
      </c>
      <c r="F15" s="23" t="inlineStr">
        <is>
          <t>Distinct unit identifiers on the roll.</t>
        </is>
      </c>
    </row>
    <row r="16">
      <c r="A16" s="21" t="inlineStr">
        <is>
          <t>trade_out.rows</t>
        </is>
      </c>
      <c r="B16" s="5" t="inlineStr">
        <is>
          <t>Synthetic lease trade-out report</t>
        </is>
      </c>
      <c r="C16" s="5" t="inlineStr">
        <is>
          <t>—</t>
        </is>
      </c>
      <c r="D16" s="5" t="inlineStr">
        <is>
          <t>read</t>
        </is>
      </c>
      <c r="E16" s="10" t="n"/>
      <c r="F16" s="23" t="inlineStr">
        <is>
          <t>Cohort averages.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