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Lease Trade-Out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3" borderId="0" pivotButton="0" quotePrefix="0" xfId="0"/>
    <xf numFmtId="49" fontId="3" fillId="3" borderId="0" pivotButton="0" quotePrefix="0" xfId="0"/>
    <xf numFmtId="3" fontId="3" fillId="3" borderId="0" pivotButton="0" quotePrefix="0" xfId="0"/>
    <xf numFmtId="0" fontId="5" fillId="4" borderId="0" pivotButton="0" quotePrefix="0" xfId="0"/>
    <xf numFmtId="0" fontId="2" fillId="0" borderId="0" applyAlignment="1" pivotButton="0" quotePrefix="0" xfId="0">
      <alignment vertical="top" wrapText="1"/>
    </xf>
    <xf numFmtId="167" fontId="4" fillId="0" borderId="0" pivotButton="0" quotePrefix="0" xfId="0"/>
    <xf numFmtId="0" fontId="0" fillId="0" borderId="0" applyAlignment="1" pivotButton="0" quotePrefix="0" xfId="0">
      <alignment vertical="top" wrapText="1"/>
    </xf>
    <xf numFmtId="49" fontId="6" fillId="0" borderId="0" pivotButton="0" quotePrefix="0" xfId="0"/>
    <xf numFmtId="0" fontId="4" fillId="0" borderId="0" applyAlignment="1" pivotButton="0" quotePrefix="0" xfId="0">
      <alignment vertical="top" wrapText="1"/>
    </xf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floor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Summary'!D8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Summary'!$D$9:$D$14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In-place vs new-lease vs market rent for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Summary'!E8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Summary'!$E$9:$E$14</f>
            </numRef>
          </val>
        </ser>
        <ser>
          <idx val="1"/>
          <order val="1"/>
          <tx>
            <strRef>
              <f>'Unit Mix Summary'!F8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Summary'!$F$9:$F$14</f>
            </numRef>
          </val>
        </ser>
        <ser>
          <idx val="2"/>
          <order val="2"/>
          <tx>
            <strRef>
              <f>'Unit Mix Summary'!H8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Summary'!$H$9:$H$14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Fixture Park — as of 2026-06-30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A1-101</t>
        </is>
      </c>
      <c r="B6" s="5" t="inlineStr">
        <is>
          <t>A1</t>
        </is>
      </c>
      <c r="C6" s="6" t="n">
        <v>1</v>
      </c>
      <c r="D6" s="6" t="n">
        <v>1</v>
      </c>
      <c r="E6" s="7" t="n">
        <v>720</v>
      </c>
      <c r="F6" s="5" t="inlineStr">
        <is>
          <t>Occupied</t>
        </is>
      </c>
      <c r="G6" s="8" t="n">
        <v>45841</v>
      </c>
      <c r="H6" s="8" t="n">
        <v>45841</v>
      </c>
      <c r="I6" s="5" t="inlineStr">
        <is>
          <t>New</t>
        </is>
      </c>
      <c r="J6" s="7" t="n">
        <v>1535</v>
      </c>
      <c r="K6" s="9">
        <f>IFERROR(J6/E6,"")</f>
        <v/>
      </c>
    </row>
    <row r="7">
      <c r="A7" s="5" t="inlineStr">
        <is>
          <t>A1-102</t>
        </is>
      </c>
      <c r="B7" s="5" t="inlineStr">
        <is>
          <t>A1</t>
        </is>
      </c>
      <c r="C7" s="6" t="n">
        <v>1</v>
      </c>
      <c r="D7" s="6" t="n">
        <v>1</v>
      </c>
      <c r="E7" s="7" t="n">
        <v>720</v>
      </c>
      <c r="F7" s="5" t="inlineStr">
        <is>
          <t>Occupied</t>
        </is>
      </c>
      <c r="G7" s="8" t="n">
        <v>45873</v>
      </c>
      <c r="H7" s="8" t="n">
        <v>45873</v>
      </c>
      <c r="I7" s="5" t="inlineStr">
        <is>
          <t>New</t>
        </is>
      </c>
      <c r="J7" s="7" t="n">
        <v>1524</v>
      </c>
      <c r="K7" s="9">
        <f>IFERROR(J7/E7,"")</f>
        <v/>
      </c>
    </row>
    <row r="8">
      <c r="A8" s="5" t="inlineStr">
        <is>
          <t>A1-103</t>
        </is>
      </c>
      <c r="B8" s="5" t="inlineStr">
        <is>
          <t>A1</t>
        </is>
      </c>
      <c r="C8" s="6" t="n">
        <v>1</v>
      </c>
      <c r="D8" s="6" t="n">
        <v>1</v>
      </c>
      <c r="E8" s="7" t="n">
        <v>720</v>
      </c>
      <c r="F8" s="5" t="inlineStr">
        <is>
          <t>Occupied</t>
        </is>
      </c>
      <c r="G8" s="8" t="n">
        <v>45905</v>
      </c>
      <c r="H8" s="8" t="n">
        <v>45905</v>
      </c>
      <c r="I8" s="5" t="inlineStr">
        <is>
          <t>New</t>
        </is>
      </c>
      <c r="J8" s="7" t="n">
        <v>1513</v>
      </c>
      <c r="K8" s="9">
        <f>IFERROR(J8/E8,"")</f>
        <v/>
      </c>
    </row>
    <row r="9">
      <c r="A9" s="5" t="inlineStr">
        <is>
          <t>A1-104</t>
        </is>
      </c>
      <c r="B9" s="5" t="inlineStr">
        <is>
          <t>A1</t>
        </is>
      </c>
      <c r="C9" s="6" t="n">
        <v>1</v>
      </c>
      <c r="D9" s="6" t="n">
        <v>1</v>
      </c>
      <c r="E9" s="7" t="n">
        <v>720</v>
      </c>
      <c r="F9" s="5" t="inlineStr">
        <is>
          <t>Occupied</t>
        </is>
      </c>
      <c r="G9" s="8" t="n">
        <v>45936</v>
      </c>
      <c r="H9" s="8" t="n">
        <v>45936</v>
      </c>
      <c r="I9" s="5" t="inlineStr">
        <is>
          <t>New</t>
        </is>
      </c>
      <c r="J9" s="7" t="n">
        <v>1502</v>
      </c>
      <c r="K9" s="9">
        <f>IFERROR(J9/E9,"")</f>
        <v/>
      </c>
    </row>
    <row r="10">
      <c r="A10" s="5" t="inlineStr">
        <is>
          <t>A1-105</t>
        </is>
      </c>
      <c r="B10" s="5" t="inlineStr">
        <is>
          <t>A1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45968</v>
      </c>
      <c r="H10" s="8" t="n">
        <v>45968</v>
      </c>
      <c r="I10" s="5" t="inlineStr">
        <is>
          <t>New</t>
        </is>
      </c>
      <c r="J10" s="7" t="n">
        <v>1491</v>
      </c>
      <c r="K10" s="9">
        <f>IFERROR(J10/E10,"")</f>
        <v/>
      </c>
    </row>
    <row r="11">
      <c r="A11" s="5" t="inlineStr">
        <is>
          <t>A1-106</t>
        </is>
      </c>
      <c r="B11" s="5" t="inlineStr">
        <is>
          <t>A1</t>
        </is>
      </c>
      <c r="C11" s="6" t="n">
        <v>1</v>
      </c>
      <c r="D11" s="6" t="n">
        <v>1</v>
      </c>
      <c r="E11" s="7" t="n">
        <v>720</v>
      </c>
      <c r="F11" s="5" t="inlineStr">
        <is>
          <t>Vacant</t>
        </is>
      </c>
      <c r="G11" s="10" t="n"/>
      <c r="H11" s="10" t="n"/>
      <c r="I11" s="10" t="n"/>
      <c r="J11" s="10" t="n"/>
      <c r="K11" s="9">
        <f>IFERROR(J11/E11,"")</f>
        <v/>
      </c>
    </row>
    <row r="12">
      <c r="A12" s="5" t="inlineStr">
        <is>
          <t>A1-107</t>
        </is>
      </c>
      <c r="B12" s="5" t="inlineStr">
        <is>
          <t>A1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46031</v>
      </c>
      <c r="H12" s="8" t="n">
        <v>46031</v>
      </c>
      <c r="I12" s="5" t="inlineStr">
        <is>
          <t>New</t>
        </is>
      </c>
      <c r="J12" s="7" t="n">
        <v>1469</v>
      </c>
      <c r="K12" s="9">
        <f>IFERROR(J12/E12,"")</f>
        <v/>
      </c>
    </row>
    <row r="13">
      <c r="A13" s="5" t="inlineStr">
        <is>
          <t>A1-108</t>
        </is>
      </c>
      <c r="B13" s="5" t="inlineStr">
        <is>
          <t>A1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46063</v>
      </c>
      <c r="H13" s="8" t="n">
        <v>46063</v>
      </c>
      <c r="I13" s="5" t="inlineStr">
        <is>
          <t>New</t>
        </is>
      </c>
      <c r="J13" s="7" t="n">
        <v>1539</v>
      </c>
      <c r="K13" s="9">
        <f>IFERROR(J13/E13,"")</f>
        <v/>
      </c>
    </row>
    <row r="14">
      <c r="A14" s="5" t="inlineStr">
        <is>
          <t>A1-109</t>
        </is>
      </c>
      <c r="B14" s="5" t="inlineStr">
        <is>
          <t>A1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46092</v>
      </c>
      <c r="H14" s="8" t="n">
        <v>46092</v>
      </c>
      <c r="I14" s="5" t="inlineStr">
        <is>
          <t>New</t>
        </is>
      </c>
      <c r="J14" s="7" t="n">
        <v>1528</v>
      </c>
      <c r="K14" s="9">
        <f>IFERROR(J14/E14,"")</f>
        <v/>
      </c>
    </row>
    <row r="15">
      <c r="A15" s="5" t="inlineStr">
        <is>
          <t>A1-110</t>
        </is>
      </c>
      <c r="B15" s="5" t="inlineStr">
        <is>
          <t>A1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46124</v>
      </c>
      <c r="H15" s="8" t="n">
        <v>46124</v>
      </c>
      <c r="I15" s="5" t="inlineStr">
        <is>
          <t>New</t>
        </is>
      </c>
      <c r="J15" s="7" t="n">
        <v>1517</v>
      </c>
      <c r="K15" s="9">
        <f>IFERROR(J15/E15,"")</f>
        <v/>
      </c>
    </row>
    <row r="16">
      <c r="A16" s="5" t="inlineStr">
        <is>
          <t>A1-111</t>
        </is>
      </c>
      <c r="B16" s="5" t="inlineStr">
        <is>
          <t>A1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46155</v>
      </c>
      <c r="H16" s="8" t="n">
        <v>46155</v>
      </c>
      <c r="I16" s="5" t="inlineStr">
        <is>
          <t>New</t>
        </is>
      </c>
      <c r="J16" s="7" t="n">
        <v>1506</v>
      </c>
      <c r="K16" s="9">
        <f>IFERROR(J16/E16,"")</f>
        <v/>
      </c>
    </row>
    <row r="17">
      <c r="A17" s="5" t="inlineStr">
        <is>
          <t>A1-112</t>
        </is>
      </c>
      <c r="B17" s="5" t="inlineStr">
        <is>
          <t>A1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45852</v>
      </c>
      <c r="H17" s="8" t="n">
        <v>45852</v>
      </c>
      <c r="I17" s="5" t="inlineStr">
        <is>
          <t>New</t>
        </is>
      </c>
      <c r="J17" s="7" t="n">
        <v>1495</v>
      </c>
      <c r="K17" s="9">
        <f>IFERROR(J17/E17,"")</f>
        <v/>
      </c>
    </row>
    <row r="18">
      <c r="A18" s="5" t="inlineStr">
        <is>
          <t>A1-113</t>
        </is>
      </c>
      <c r="B18" s="5" t="inlineStr">
        <is>
          <t>A1</t>
        </is>
      </c>
      <c r="C18" s="6" t="n">
        <v>1</v>
      </c>
      <c r="D18" s="6" t="n">
        <v>1</v>
      </c>
      <c r="E18" s="7" t="n">
        <v>720</v>
      </c>
      <c r="F18" s="5" t="inlineStr">
        <is>
          <t>Occupied</t>
        </is>
      </c>
      <c r="G18" s="8" t="n">
        <v>46094</v>
      </c>
      <c r="H18" s="8" t="n">
        <v>44209</v>
      </c>
      <c r="I18" s="5" t="inlineStr">
        <is>
          <t>Renewal</t>
        </is>
      </c>
      <c r="J18" s="7" t="n">
        <v>1465</v>
      </c>
      <c r="K18" s="9">
        <f>IFERROR(J18/E18,"")</f>
        <v/>
      </c>
    </row>
    <row r="19">
      <c r="A19" s="5" t="inlineStr">
        <is>
          <t>A1-114</t>
        </is>
      </c>
      <c r="B19" s="5" t="inlineStr">
        <is>
          <t>A1</t>
        </is>
      </c>
      <c r="C19" s="6" t="n">
        <v>1</v>
      </c>
      <c r="D19" s="6" t="n">
        <v>1</v>
      </c>
      <c r="E19" s="7" t="n">
        <v>720</v>
      </c>
      <c r="F19" s="5" t="inlineStr">
        <is>
          <t>Occupied</t>
        </is>
      </c>
      <c r="G19" s="8" t="n">
        <v>46126</v>
      </c>
      <c r="H19" s="8" t="n">
        <v>44606</v>
      </c>
      <c r="I19" s="5" t="inlineStr">
        <is>
          <t>Renewal</t>
        </is>
      </c>
      <c r="J19" s="7" t="n">
        <v>1442</v>
      </c>
      <c r="K19" s="9">
        <f>IFERROR(J19/E19,"")</f>
        <v/>
      </c>
    </row>
    <row r="20">
      <c r="A20" s="5" t="inlineStr">
        <is>
          <t>A1-115</t>
        </is>
      </c>
      <c r="B20" s="5" t="inlineStr">
        <is>
          <t>A1</t>
        </is>
      </c>
      <c r="C20" s="6" t="n">
        <v>1</v>
      </c>
      <c r="D20" s="6" t="n">
        <v>1</v>
      </c>
      <c r="E20" s="7" t="n">
        <v>720</v>
      </c>
      <c r="F20" s="5" t="inlineStr">
        <is>
          <t>Occupied</t>
        </is>
      </c>
      <c r="G20" s="8" t="n">
        <v>46157</v>
      </c>
      <c r="H20" s="8" t="n">
        <v>45000</v>
      </c>
      <c r="I20" s="5" t="inlineStr">
        <is>
          <t>Renewal</t>
        </is>
      </c>
      <c r="J20" s="7" t="n">
        <v>1419</v>
      </c>
      <c r="K20" s="9">
        <f>IFERROR(J20/E20,"")</f>
        <v/>
      </c>
    </row>
    <row r="21">
      <c r="A21" s="5" t="inlineStr">
        <is>
          <t>A1-116</t>
        </is>
      </c>
      <c r="B21" s="5" t="inlineStr">
        <is>
          <t>A1</t>
        </is>
      </c>
      <c r="C21" s="6" t="n">
        <v>1</v>
      </c>
      <c r="D21" s="6" t="n">
        <v>1</v>
      </c>
      <c r="E21" s="7" t="n">
        <v>720</v>
      </c>
      <c r="F21" s="5" t="inlineStr">
        <is>
          <t>Occupied</t>
        </is>
      </c>
      <c r="G21" s="8" t="n">
        <v>46038</v>
      </c>
      <c r="H21" s="8" t="n">
        <v>44302</v>
      </c>
      <c r="I21" s="5" t="inlineStr">
        <is>
          <t>Renewal</t>
        </is>
      </c>
      <c r="J21" s="7" t="n">
        <v>1487</v>
      </c>
      <c r="K21" s="9">
        <f>IFERROR(J21/E21,"")</f>
        <v/>
      </c>
    </row>
    <row r="22">
      <c r="A22" s="5" t="inlineStr">
        <is>
          <t>A1-117</t>
        </is>
      </c>
      <c r="B22" s="5" t="inlineStr">
        <is>
          <t>A1</t>
        </is>
      </c>
      <c r="C22" s="6" t="n">
        <v>1</v>
      </c>
      <c r="D22" s="6" t="n">
        <v>1</v>
      </c>
      <c r="E22" s="7" t="n">
        <v>720</v>
      </c>
      <c r="F22" s="5" t="inlineStr">
        <is>
          <t>Occupied</t>
        </is>
      </c>
      <c r="G22" s="8" t="n">
        <v>46070</v>
      </c>
      <c r="H22" s="8" t="n">
        <v>44698</v>
      </c>
      <c r="I22" s="5" t="inlineStr">
        <is>
          <t>Renewal</t>
        </is>
      </c>
      <c r="J22" s="7" t="n">
        <v>1464</v>
      </c>
      <c r="K22" s="9">
        <f>IFERROR(J22/E22,"")</f>
        <v/>
      </c>
    </row>
    <row r="23">
      <c r="A23" s="5" t="inlineStr">
        <is>
          <t>A1-118</t>
        </is>
      </c>
      <c r="B23" s="5" t="inlineStr">
        <is>
          <t>A1</t>
        </is>
      </c>
      <c r="C23" s="6" t="n">
        <v>1</v>
      </c>
      <c r="D23" s="6" t="n">
        <v>1</v>
      </c>
      <c r="E23" s="7" t="n">
        <v>720</v>
      </c>
      <c r="F23" s="5" t="inlineStr">
        <is>
          <t>Occupied</t>
        </is>
      </c>
      <c r="G23" s="8" t="n">
        <v>46099</v>
      </c>
      <c r="H23" s="8" t="n">
        <v>45095</v>
      </c>
      <c r="I23" s="5" t="inlineStr">
        <is>
          <t>Renewal</t>
        </is>
      </c>
      <c r="J23" s="7" t="n">
        <v>1441</v>
      </c>
      <c r="K23" s="9">
        <f>IFERROR(J23/E23,"")</f>
        <v/>
      </c>
    </row>
    <row r="24">
      <c r="A24" s="5" t="inlineStr">
        <is>
          <t>A1-119</t>
        </is>
      </c>
      <c r="B24" s="5" t="inlineStr">
        <is>
          <t>A1</t>
        </is>
      </c>
      <c r="C24" s="6" t="n">
        <v>1</v>
      </c>
      <c r="D24" s="6" t="n">
        <v>1</v>
      </c>
      <c r="E24" s="7" t="n">
        <v>720</v>
      </c>
      <c r="F24" s="5" t="inlineStr">
        <is>
          <t>Occupied</t>
        </is>
      </c>
      <c r="G24" s="8" t="n">
        <v>46131</v>
      </c>
      <c r="H24" s="8" t="n">
        <v>44396</v>
      </c>
      <c r="I24" s="5" t="inlineStr">
        <is>
          <t>Renewal</t>
        </is>
      </c>
      <c r="J24" s="7" t="n">
        <v>1418</v>
      </c>
      <c r="K24" s="9">
        <f>IFERROR(J24/E24,"")</f>
        <v/>
      </c>
    </row>
    <row r="25">
      <c r="A25" s="5" t="inlineStr">
        <is>
          <t>A1-120</t>
        </is>
      </c>
      <c r="B25" s="5" t="inlineStr">
        <is>
          <t>A1</t>
        </is>
      </c>
      <c r="C25" s="6" t="n">
        <v>1</v>
      </c>
      <c r="D25" s="6" t="n">
        <v>1</v>
      </c>
      <c r="E25" s="7" t="n">
        <v>720</v>
      </c>
      <c r="F25" s="5" t="inlineStr">
        <is>
          <t>Occupied</t>
        </is>
      </c>
      <c r="G25" s="8" t="n">
        <v>46162</v>
      </c>
      <c r="H25" s="8" t="n">
        <v>44793</v>
      </c>
      <c r="I25" s="5" t="inlineStr">
        <is>
          <t>Renewal</t>
        </is>
      </c>
      <c r="J25" s="7" t="n">
        <v>1486</v>
      </c>
      <c r="K25" s="9">
        <f>IFERROR(J25/E25,"")</f>
        <v/>
      </c>
    </row>
    <row r="26">
      <c r="A26" s="5" t="inlineStr">
        <is>
          <t>A1-121</t>
        </is>
      </c>
      <c r="B26" s="5" t="inlineStr">
        <is>
          <t>A1</t>
        </is>
      </c>
      <c r="C26" s="6" t="n">
        <v>1</v>
      </c>
      <c r="D26" s="6" t="n">
        <v>1</v>
      </c>
      <c r="E26" s="7" t="n">
        <v>720</v>
      </c>
      <c r="F26" s="5" t="inlineStr">
        <is>
          <t>Occupied</t>
        </is>
      </c>
      <c r="G26" s="8" t="n">
        <v>46043</v>
      </c>
      <c r="H26" s="8" t="n">
        <v>45190</v>
      </c>
      <c r="I26" s="5" t="inlineStr">
        <is>
          <t>Renewal</t>
        </is>
      </c>
      <c r="J26" s="7" t="n">
        <v>1463</v>
      </c>
      <c r="K26" s="9">
        <f>IFERROR(J26/E26,"")</f>
        <v/>
      </c>
    </row>
    <row r="27">
      <c r="A27" s="5" t="inlineStr">
        <is>
          <t>A1-122</t>
        </is>
      </c>
      <c r="B27" s="5" t="inlineStr">
        <is>
          <t>A1</t>
        </is>
      </c>
      <c r="C27" s="6" t="n">
        <v>1</v>
      </c>
      <c r="D27" s="6" t="n">
        <v>1</v>
      </c>
      <c r="E27" s="7" t="n">
        <v>720</v>
      </c>
      <c r="F27" s="5" t="inlineStr">
        <is>
          <t>Occupied</t>
        </is>
      </c>
      <c r="G27" s="8" t="n">
        <v>46075</v>
      </c>
      <c r="H27" s="8" t="n">
        <v>44491</v>
      </c>
      <c r="I27" s="5" t="inlineStr">
        <is>
          <t>Renewal</t>
        </is>
      </c>
      <c r="J27" s="7" t="n">
        <v>1440</v>
      </c>
      <c r="K27" s="9">
        <f>IFERROR(J27/E27,"")</f>
        <v/>
      </c>
    </row>
    <row r="28">
      <c r="A28" s="5" t="inlineStr">
        <is>
          <t>A1-123</t>
        </is>
      </c>
      <c r="B28" s="5" t="inlineStr">
        <is>
          <t>A1</t>
        </is>
      </c>
      <c r="C28" s="6" t="n">
        <v>1</v>
      </c>
      <c r="D28" s="6" t="n">
        <v>1</v>
      </c>
      <c r="E28" s="7" t="n">
        <v>720</v>
      </c>
      <c r="F28" s="5" t="inlineStr">
        <is>
          <t>Occupied</t>
        </is>
      </c>
      <c r="G28" s="8" t="n">
        <v>46104</v>
      </c>
      <c r="H28" s="8" t="n">
        <v>44888</v>
      </c>
      <c r="I28" s="5" t="inlineStr">
        <is>
          <t>Renewal</t>
        </is>
      </c>
      <c r="J28" s="7" t="n">
        <v>1417</v>
      </c>
      <c r="K28" s="9">
        <f>IFERROR(J28/E28,"")</f>
        <v/>
      </c>
    </row>
    <row r="29">
      <c r="A29" s="5" t="inlineStr">
        <is>
          <t>A1-124</t>
        </is>
      </c>
      <c r="B29" s="5" t="inlineStr">
        <is>
          <t>A1</t>
        </is>
      </c>
      <c r="C29" s="6" t="n">
        <v>1</v>
      </c>
      <c r="D29" s="6" t="n">
        <v>1</v>
      </c>
      <c r="E29" s="7" t="n">
        <v>720</v>
      </c>
      <c r="F29" s="5" t="inlineStr">
        <is>
          <t>Occupied</t>
        </is>
      </c>
      <c r="G29" s="8" t="n">
        <v>46136</v>
      </c>
      <c r="H29" s="8" t="n">
        <v>45284</v>
      </c>
      <c r="I29" s="5" t="inlineStr">
        <is>
          <t>Renewal</t>
        </is>
      </c>
      <c r="J29" s="7" t="n">
        <v>1485</v>
      </c>
      <c r="K29" s="9">
        <f>IFERROR(J29/E29,"")</f>
        <v/>
      </c>
    </row>
    <row r="30">
      <c r="A30" s="5" t="inlineStr">
        <is>
          <t>A1-125</t>
        </is>
      </c>
      <c r="B30" s="5" t="inlineStr">
        <is>
          <t>A1</t>
        </is>
      </c>
      <c r="C30" s="6" t="n">
        <v>1</v>
      </c>
      <c r="D30" s="6" t="n">
        <v>1</v>
      </c>
      <c r="E30" s="7" t="n">
        <v>720</v>
      </c>
      <c r="F30" s="5" t="inlineStr">
        <is>
          <t>Occupied</t>
        </is>
      </c>
      <c r="G30" s="8" t="n">
        <v>46167</v>
      </c>
      <c r="H30" s="8" t="n">
        <v>44221</v>
      </c>
      <c r="I30" s="5" t="inlineStr">
        <is>
          <t>Renewal</t>
        </is>
      </c>
      <c r="J30" s="7" t="n">
        <v>1462</v>
      </c>
      <c r="K30" s="9">
        <f>IFERROR(J30/E30,"")</f>
        <v/>
      </c>
    </row>
    <row r="31">
      <c r="A31" s="5" t="inlineStr">
        <is>
          <t>A1-126</t>
        </is>
      </c>
      <c r="B31" s="5" t="inlineStr">
        <is>
          <t>A1</t>
        </is>
      </c>
      <c r="C31" s="6" t="n">
        <v>1</v>
      </c>
      <c r="D31" s="6" t="n">
        <v>1</v>
      </c>
      <c r="E31" s="7" t="n">
        <v>720</v>
      </c>
      <c r="F31" s="5" t="inlineStr">
        <is>
          <t>Occupied</t>
        </is>
      </c>
      <c r="G31" s="8" t="n">
        <v>46048</v>
      </c>
      <c r="H31" s="8" t="n">
        <v>44618</v>
      </c>
      <c r="I31" s="5" t="inlineStr">
        <is>
          <t>Renewal</t>
        </is>
      </c>
      <c r="J31" s="7" t="n">
        <v>1439</v>
      </c>
      <c r="K31" s="9">
        <f>IFERROR(J31/E31,"")</f>
        <v/>
      </c>
    </row>
    <row r="32">
      <c r="A32" s="5" t="inlineStr">
        <is>
          <t>A1-127</t>
        </is>
      </c>
      <c r="B32" s="5" t="inlineStr">
        <is>
          <t>A1</t>
        </is>
      </c>
      <c r="C32" s="6" t="n">
        <v>1</v>
      </c>
      <c r="D32" s="6" t="n">
        <v>1</v>
      </c>
      <c r="E32" s="7" t="n">
        <v>720</v>
      </c>
      <c r="F32" s="5" t="inlineStr">
        <is>
          <t>Occupied</t>
        </is>
      </c>
      <c r="G32" s="8" t="n">
        <v>46080</v>
      </c>
      <c r="H32" s="8" t="n">
        <v>44986</v>
      </c>
      <c r="I32" s="5" t="inlineStr">
        <is>
          <t>Renewal</t>
        </is>
      </c>
      <c r="J32" s="7" t="n">
        <v>1416</v>
      </c>
      <c r="K32" s="9">
        <f>IFERROR(J32/E32,"")</f>
        <v/>
      </c>
    </row>
    <row r="33">
      <c r="A33" s="5" t="inlineStr">
        <is>
          <t>A1-128</t>
        </is>
      </c>
      <c r="B33" s="5" t="inlineStr">
        <is>
          <t>A1</t>
        </is>
      </c>
      <c r="C33" s="6" t="n">
        <v>1</v>
      </c>
      <c r="D33" s="6" t="n">
        <v>1</v>
      </c>
      <c r="E33" s="7" t="n">
        <v>720</v>
      </c>
      <c r="F33" s="5" t="inlineStr">
        <is>
          <t>Occupied</t>
        </is>
      </c>
      <c r="G33" s="8" t="n">
        <v>46082</v>
      </c>
      <c r="H33" s="8" t="n">
        <v>44288</v>
      </c>
      <c r="I33" s="5" t="inlineStr">
        <is>
          <t>Renewal</t>
        </is>
      </c>
      <c r="J33" s="7" t="n">
        <v>1484</v>
      </c>
      <c r="K33" s="9">
        <f>IFERROR(J33/E33,"")</f>
        <v/>
      </c>
    </row>
    <row r="34">
      <c r="A34" s="5" t="inlineStr">
        <is>
          <t>A1-129</t>
        </is>
      </c>
      <c r="B34" s="5" t="inlineStr">
        <is>
          <t>A1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46114</v>
      </c>
      <c r="H34" s="8" t="n">
        <v>44684</v>
      </c>
      <c r="I34" s="5" t="inlineStr">
        <is>
          <t>Renewal</t>
        </is>
      </c>
      <c r="J34" s="7" t="n">
        <v>1461</v>
      </c>
      <c r="K34" s="9">
        <f>IFERROR(J34/E34,"")</f>
        <v/>
      </c>
    </row>
    <row r="35">
      <c r="A35" s="5" t="inlineStr">
        <is>
          <t>A1-130</t>
        </is>
      </c>
      <c r="B35" s="5" t="inlineStr">
        <is>
          <t>A1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46145</v>
      </c>
      <c r="H35" s="8" t="n">
        <v>45081</v>
      </c>
      <c r="I35" s="5" t="inlineStr">
        <is>
          <t>Renewal</t>
        </is>
      </c>
      <c r="J35" s="7" t="n">
        <v>1438</v>
      </c>
      <c r="K35" s="9">
        <f>IFERROR(J35/E35,"")</f>
        <v/>
      </c>
    </row>
    <row r="36">
      <c r="A36" s="5" t="inlineStr">
        <is>
          <t>A1-131</t>
        </is>
      </c>
      <c r="B36" s="5" t="inlineStr">
        <is>
          <t>A1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46026</v>
      </c>
      <c r="H36" s="8" t="n">
        <v>44382</v>
      </c>
      <c r="I36" s="5" t="inlineStr">
        <is>
          <t>Renewal</t>
        </is>
      </c>
      <c r="J36" s="7" t="n">
        <v>1415</v>
      </c>
      <c r="K36" s="9">
        <f>IFERROR(J36/E36,"")</f>
        <v/>
      </c>
    </row>
    <row r="37">
      <c r="A37" s="5" t="inlineStr">
        <is>
          <t>A1-132</t>
        </is>
      </c>
      <c r="B37" s="5" t="inlineStr">
        <is>
          <t>A1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46058</v>
      </c>
      <c r="H37" s="8" t="n">
        <v>44779</v>
      </c>
      <c r="I37" s="5" t="inlineStr">
        <is>
          <t>Renewal</t>
        </is>
      </c>
      <c r="J37" s="7" t="n">
        <v>1483</v>
      </c>
      <c r="K37" s="9">
        <f>IFERROR(J37/E37,"")</f>
        <v/>
      </c>
    </row>
    <row r="38">
      <c r="A38" s="5" t="inlineStr">
        <is>
          <t>A1-133</t>
        </is>
      </c>
      <c r="B38" s="5" t="inlineStr">
        <is>
          <t>A1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46087</v>
      </c>
      <c r="H38" s="8" t="n">
        <v>45176</v>
      </c>
      <c r="I38" s="5" t="inlineStr">
        <is>
          <t>Renewal</t>
        </is>
      </c>
      <c r="J38" s="7" t="n">
        <v>1460</v>
      </c>
      <c r="K38" s="9">
        <f>IFERROR(J38/E38,"")</f>
        <v/>
      </c>
    </row>
    <row r="39">
      <c r="A39" s="5" t="inlineStr">
        <is>
          <t>A1-134</t>
        </is>
      </c>
      <c r="B39" s="5" t="inlineStr">
        <is>
          <t>A1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46119</v>
      </c>
      <c r="H39" s="8" t="n">
        <v>44477</v>
      </c>
      <c r="I39" s="5" t="inlineStr">
        <is>
          <t>Renewal</t>
        </is>
      </c>
      <c r="J39" s="7" t="n">
        <v>1437</v>
      </c>
      <c r="K39" s="9">
        <f>IFERROR(J39/E39,"")</f>
        <v/>
      </c>
    </row>
    <row r="40">
      <c r="A40" s="5" t="inlineStr">
        <is>
          <t>A2-101</t>
        </is>
      </c>
      <c r="B40" s="5" t="inlineStr">
        <is>
          <t>A2</t>
        </is>
      </c>
      <c r="C40" s="6" t="n">
        <v>1</v>
      </c>
      <c r="D40" s="6" t="n">
        <v>1</v>
      </c>
      <c r="E40" s="7" t="n">
        <v>795</v>
      </c>
      <c r="F40" s="5" t="inlineStr">
        <is>
          <t>Occupied</t>
        </is>
      </c>
      <c r="G40" s="8" t="n">
        <v>45841</v>
      </c>
      <c r="H40" s="8" t="n">
        <v>45841</v>
      </c>
      <c r="I40" s="5" t="inlineStr">
        <is>
          <t>New</t>
        </is>
      </c>
      <c r="J40" s="7" t="n">
        <v>1560</v>
      </c>
      <c r="K40" s="9">
        <f>IFERROR(J40/E40,"")</f>
        <v/>
      </c>
    </row>
    <row r="41">
      <c r="A41" s="5" t="inlineStr">
        <is>
          <t>A2-102</t>
        </is>
      </c>
      <c r="B41" s="5" t="inlineStr">
        <is>
          <t>A2</t>
        </is>
      </c>
      <c r="C41" s="6" t="n">
        <v>1</v>
      </c>
      <c r="D41" s="6" t="n">
        <v>1</v>
      </c>
      <c r="E41" s="7" t="n">
        <v>795</v>
      </c>
      <c r="F41" s="5" t="inlineStr">
        <is>
          <t>Occupied</t>
        </is>
      </c>
      <c r="G41" s="8" t="n">
        <v>45873</v>
      </c>
      <c r="H41" s="8" t="n">
        <v>45873</v>
      </c>
      <c r="I41" s="5" t="inlineStr">
        <is>
          <t>New</t>
        </is>
      </c>
      <c r="J41" s="7" t="n">
        <v>1549</v>
      </c>
      <c r="K41" s="9">
        <f>IFERROR(J41/E41,"")</f>
        <v/>
      </c>
    </row>
    <row r="42">
      <c r="A42" s="5" t="inlineStr">
        <is>
          <t>A2-103</t>
        </is>
      </c>
      <c r="B42" s="5" t="inlineStr">
        <is>
          <t>A2</t>
        </is>
      </c>
      <c r="C42" s="6" t="n">
        <v>1</v>
      </c>
      <c r="D42" s="6" t="n">
        <v>1</v>
      </c>
      <c r="E42" s="7" t="n">
        <v>795</v>
      </c>
      <c r="F42" s="5" t="inlineStr">
        <is>
          <t>Occupied</t>
        </is>
      </c>
      <c r="G42" s="8" t="n">
        <v>45905</v>
      </c>
      <c r="H42" s="8" t="n">
        <v>45905</v>
      </c>
      <c r="I42" s="5" t="inlineStr">
        <is>
          <t>New</t>
        </is>
      </c>
      <c r="J42" s="7" t="n">
        <v>1619</v>
      </c>
      <c r="K42" s="9">
        <f>IFERROR(J42/E42,"")</f>
        <v/>
      </c>
    </row>
    <row r="43">
      <c r="A43" s="5" t="inlineStr">
        <is>
          <t>A2-104</t>
        </is>
      </c>
      <c r="B43" s="5" t="inlineStr">
        <is>
          <t>A2</t>
        </is>
      </c>
      <c r="C43" s="6" t="n">
        <v>1</v>
      </c>
      <c r="D43" s="6" t="n">
        <v>1</v>
      </c>
      <c r="E43" s="7" t="n">
        <v>795</v>
      </c>
      <c r="F43" s="5" t="inlineStr">
        <is>
          <t>Occupied</t>
        </is>
      </c>
      <c r="G43" s="8" t="n">
        <v>45936</v>
      </c>
      <c r="H43" s="8" t="n">
        <v>45936</v>
      </c>
      <c r="I43" s="5" t="inlineStr">
        <is>
          <t>New</t>
        </is>
      </c>
      <c r="J43" s="7" t="n">
        <v>1608</v>
      </c>
      <c r="K43" s="9">
        <f>IFERROR(J43/E43,"")</f>
        <v/>
      </c>
    </row>
    <row r="44">
      <c r="A44" s="5" t="inlineStr">
        <is>
          <t>A2-105</t>
        </is>
      </c>
      <c r="B44" s="5" t="inlineStr">
        <is>
          <t>A2</t>
        </is>
      </c>
      <c r="C44" s="6" t="n">
        <v>1</v>
      </c>
      <c r="D44" s="6" t="n">
        <v>1</v>
      </c>
      <c r="E44" s="7" t="n">
        <v>795</v>
      </c>
      <c r="F44" s="5" t="inlineStr">
        <is>
          <t>Occupied</t>
        </is>
      </c>
      <c r="G44" s="8" t="n">
        <v>45968</v>
      </c>
      <c r="H44" s="8" t="n">
        <v>45968</v>
      </c>
      <c r="I44" s="5" t="inlineStr">
        <is>
          <t>New</t>
        </is>
      </c>
      <c r="J44" s="7" t="n">
        <v>1597</v>
      </c>
      <c r="K44" s="9">
        <f>IFERROR(J44/E44,"")</f>
        <v/>
      </c>
    </row>
    <row r="45">
      <c r="A45" s="5" t="inlineStr">
        <is>
          <t>A2-106</t>
        </is>
      </c>
      <c r="B45" s="5" t="inlineStr">
        <is>
          <t>A2</t>
        </is>
      </c>
      <c r="C45" s="6" t="n">
        <v>1</v>
      </c>
      <c r="D45" s="6" t="n">
        <v>1</v>
      </c>
      <c r="E45" s="7" t="n">
        <v>795</v>
      </c>
      <c r="F45" s="5" t="inlineStr">
        <is>
          <t>Occupied</t>
        </is>
      </c>
      <c r="G45" s="8" t="n">
        <v>45999</v>
      </c>
      <c r="H45" s="8" t="n">
        <v>45999</v>
      </c>
      <c r="I45" s="5" t="inlineStr">
        <is>
          <t>New</t>
        </is>
      </c>
      <c r="J45" s="7" t="n">
        <v>1586</v>
      </c>
      <c r="K45" s="9">
        <f>IFERROR(J45/E45,"")</f>
        <v/>
      </c>
    </row>
    <row r="46">
      <c r="A46" s="5" t="inlineStr">
        <is>
          <t>A2-107</t>
        </is>
      </c>
      <c r="B46" s="5" t="inlineStr">
        <is>
          <t>A2</t>
        </is>
      </c>
      <c r="C46" s="6" t="n">
        <v>1</v>
      </c>
      <c r="D46" s="6" t="n">
        <v>1</v>
      </c>
      <c r="E46" s="7" t="n">
        <v>795</v>
      </c>
      <c r="F46" s="5" t="inlineStr">
        <is>
          <t>Occupied</t>
        </is>
      </c>
      <c r="G46" s="5" t="inlineStr">
        <is>
          <t>n/a</t>
        </is>
      </c>
      <c r="H46" s="8" t="n">
        <v>46031</v>
      </c>
      <c r="I46" s="10" t="n"/>
      <c r="J46" s="7" t="n">
        <v>1575</v>
      </c>
      <c r="K46" s="9">
        <f>IFERROR(J46/E46,"")</f>
        <v/>
      </c>
    </row>
    <row r="47">
      <c r="A47" s="5" t="inlineStr">
        <is>
          <t>A2-108</t>
        </is>
      </c>
      <c r="B47" s="5" t="inlineStr">
        <is>
          <t>A2</t>
        </is>
      </c>
      <c r="C47" s="6" t="n">
        <v>1</v>
      </c>
      <c r="D47" s="6" t="n">
        <v>1</v>
      </c>
      <c r="E47" s="7" t="n">
        <v>795</v>
      </c>
      <c r="F47" s="5" t="inlineStr">
        <is>
          <t>Occupied</t>
        </is>
      </c>
      <c r="G47" s="8" t="n">
        <v>46063</v>
      </c>
      <c r="H47" s="8" t="n">
        <v>46063</v>
      </c>
      <c r="I47" s="5" t="inlineStr">
        <is>
          <t>New</t>
        </is>
      </c>
      <c r="J47" s="7" t="n">
        <v>1564</v>
      </c>
      <c r="K47" s="9">
        <f>IFERROR(J47/E47,"")</f>
        <v/>
      </c>
    </row>
    <row r="48">
      <c r="A48" s="5" t="inlineStr">
        <is>
          <t>A2-109</t>
        </is>
      </c>
      <c r="B48" s="5" t="inlineStr">
        <is>
          <t>A2</t>
        </is>
      </c>
      <c r="C48" s="6" t="n">
        <v>1</v>
      </c>
      <c r="D48" s="6" t="n">
        <v>1</v>
      </c>
      <c r="E48" s="7" t="n">
        <v>795</v>
      </c>
      <c r="F48" s="5" t="inlineStr">
        <is>
          <t>Occupied</t>
        </is>
      </c>
      <c r="G48" s="8" t="n">
        <v>46121</v>
      </c>
      <c r="H48" s="8" t="n">
        <v>45178</v>
      </c>
      <c r="I48" s="5" t="inlineStr">
        <is>
          <t>Renewal</t>
        </is>
      </c>
      <c r="J48" s="7" t="n">
        <v>1487</v>
      </c>
      <c r="K48" s="9">
        <f>IFERROR(J48/E48,"")</f>
        <v/>
      </c>
    </row>
    <row r="49">
      <c r="A49" s="5" t="inlineStr">
        <is>
          <t>A2-110</t>
        </is>
      </c>
      <c r="B49" s="5" t="inlineStr">
        <is>
          <t>A2</t>
        </is>
      </c>
      <c r="C49" s="6" t="n">
        <v>1</v>
      </c>
      <c r="D49" s="6" t="n">
        <v>1</v>
      </c>
      <c r="E49" s="7" t="n">
        <v>795</v>
      </c>
      <c r="F49" s="5" t="inlineStr">
        <is>
          <t>Occupied</t>
        </is>
      </c>
      <c r="G49" s="8" t="n">
        <v>46152</v>
      </c>
      <c r="H49" s="8" t="n">
        <v>44479</v>
      </c>
      <c r="I49" s="5" t="inlineStr">
        <is>
          <t>Renewal</t>
        </is>
      </c>
      <c r="J49" s="7" t="n">
        <v>1555</v>
      </c>
      <c r="K49" s="9">
        <f>IFERROR(J49/E49,"")</f>
        <v/>
      </c>
    </row>
    <row r="50">
      <c r="A50" s="5" t="inlineStr">
        <is>
          <t>A2-111</t>
        </is>
      </c>
      <c r="B50" s="5" t="inlineStr">
        <is>
          <t>A2</t>
        </is>
      </c>
      <c r="C50" s="6" t="n">
        <v>1</v>
      </c>
      <c r="D50" s="6" t="n">
        <v>1</v>
      </c>
      <c r="E50" s="7" t="n">
        <v>795</v>
      </c>
      <c r="F50" s="5" t="inlineStr">
        <is>
          <t>Occupied</t>
        </is>
      </c>
      <c r="G50" s="8" t="n">
        <v>46033</v>
      </c>
      <c r="H50" s="8" t="n">
        <v>44876</v>
      </c>
      <c r="I50" s="5" t="inlineStr">
        <is>
          <t>Renewal</t>
        </is>
      </c>
      <c r="J50" s="7" t="n">
        <v>1532</v>
      </c>
      <c r="K50" s="9">
        <f>IFERROR(J50/E50,"")</f>
        <v/>
      </c>
    </row>
    <row r="51">
      <c r="A51" s="5" t="inlineStr">
        <is>
          <t>A2-112</t>
        </is>
      </c>
      <c r="B51" s="5" t="inlineStr">
        <is>
          <t>A2</t>
        </is>
      </c>
      <c r="C51" s="6" t="n">
        <v>1</v>
      </c>
      <c r="D51" s="6" t="n">
        <v>1</v>
      </c>
      <c r="E51" s="7" t="n">
        <v>795</v>
      </c>
      <c r="F51" s="5" t="inlineStr">
        <is>
          <t>Occupied</t>
        </is>
      </c>
      <c r="G51" s="8" t="n">
        <v>46065</v>
      </c>
      <c r="H51" s="8" t="n">
        <v>45272</v>
      </c>
      <c r="I51" s="5" t="inlineStr">
        <is>
          <t>Renewal</t>
        </is>
      </c>
      <c r="J51" s="7" t="n">
        <v>1509</v>
      </c>
      <c r="K51" s="9">
        <f>IFERROR(J51/E51,"")</f>
        <v/>
      </c>
    </row>
    <row r="52">
      <c r="A52" s="5" t="inlineStr">
        <is>
          <t>A2-113</t>
        </is>
      </c>
      <c r="B52" s="5" t="inlineStr">
        <is>
          <t>A2</t>
        </is>
      </c>
      <c r="C52" s="6" t="n">
        <v>1</v>
      </c>
      <c r="D52" s="6" t="n">
        <v>1</v>
      </c>
      <c r="E52" s="7" t="n">
        <v>795</v>
      </c>
      <c r="F52" s="5" t="inlineStr">
        <is>
          <t>Occupied</t>
        </is>
      </c>
      <c r="G52" s="8" t="n">
        <v>46094</v>
      </c>
      <c r="H52" s="8" t="n">
        <v>44209</v>
      </c>
      <c r="I52" s="5" t="inlineStr">
        <is>
          <t>Renewal</t>
        </is>
      </c>
      <c r="J52" s="7" t="n">
        <v>1486</v>
      </c>
      <c r="K52" s="9">
        <f>IFERROR(J52/E52,"")</f>
        <v/>
      </c>
    </row>
    <row r="53">
      <c r="A53" s="5" t="inlineStr">
        <is>
          <t>A2-114</t>
        </is>
      </c>
      <c r="B53" s="5" t="inlineStr">
        <is>
          <t>A2</t>
        </is>
      </c>
      <c r="C53" s="6" t="n">
        <v>1</v>
      </c>
      <c r="D53" s="6" t="n">
        <v>1</v>
      </c>
      <c r="E53" s="7" t="n">
        <v>795</v>
      </c>
      <c r="F53" s="5" t="inlineStr">
        <is>
          <t>Occupied</t>
        </is>
      </c>
      <c r="G53" s="8" t="n">
        <v>46126</v>
      </c>
      <c r="H53" s="8" t="n">
        <v>44606</v>
      </c>
      <c r="I53" s="5" t="inlineStr">
        <is>
          <t>Renewal</t>
        </is>
      </c>
      <c r="J53" s="7" t="n">
        <v>1554</v>
      </c>
      <c r="K53" s="9">
        <f>IFERROR(J53/E53,"")</f>
        <v/>
      </c>
    </row>
    <row r="54">
      <c r="A54" s="5" t="inlineStr">
        <is>
          <t>A2-115</t>
        </is>
      </c>
      <c r="B54" s="5" t="inlineStr">
        <is>
          <t>A2</t>
        </is>
      </c>
      <c r="C54" s="6" t="n">
        <v>1</v>
      </c>
      <c r="D54" s="6" t="n">
        <v>1</v>
      </c>
      <c r="E54" s="7" t="n">
        <v>795</v>
      </c>
      <c r="F54" s="5" t="inlineStr">
        <is>
          <t>Occupied</t>
        </is>
      </c>
      <c r="G54" s="8" t="n">
        <v>46157</v>
      </c>
      <c r="H54" s="8" t="n">
        <v>45000</v>
      </c>
      <c r="I54" s="5" t="inlineStr">
        <is>
          <t>Renewal</t>
        </is>
      </c>
      <c r="J54" s="7" t="n">
        <v>1531</v>
      </c>
      <c r="K54" s="9">
        <f>IFERROR(J54/E54,"")</f>
        <v/>
      </c>
    </row>
    <row r="55">
      <c r="A55" s="5" t="inlineStr">
        <is>
          <t>A2-116</t>
        </is>
      </c>
      <c r="B55" s="5" t="inlineStr">
        <is>
          <t>A2</t>
        </is>
      </c>
      <c r="C55" s="6" t="n">
        <v>1</v>
      </c>
      <c r="D55" s="6" t="n">
        <v>1</v>
      </c>
      <c r="E55" s="7" t="n">
        <v>795</v>
      </c>
      <c r="F55" s="5" t="inlineStr">
        <is>
          <t>Occupied</t>
        </is>
      </c>
      <c r="G55" s="8" t="n">
        <v>46038</v>
      </c>
      <c r="H55" s="8" t="n">
        <v>44302</v>
      </c>
      <c r="I55" s="5" t="inlineStr">
        <is>
          <t>Renewal</t>
        </is>
      </c>
      <c r="J55" s="7" t="n">
        <v>1508</v>
      </c>
      <c r="K55" s="9">
        <f>IFERROR(J55/E55,"")</f>
        <v/>
      </c>
    </row>
    <row r="56">
      <c r="A56" s="5" t="inlineStr">
        <is>
          <t>A2-117</t>
        </is>
      </c>
      <c r="B56" s="5" t="inlineStr">
        <is>
          <t>A2</t>
        </is>
      </c>
      <c r="C56" s="6" t="n">
        <v>1</v>
      </c>
      <c r="D56" s="6" t="n">
        <v>1</v>
      </c>
      <c r="E56" s="7" t="n">
        <v>795</v>
      </c>
      <c r="F56" s="5" t="inlineStr">
        <is>
          <t>Occupied</t>
        </is>
      </c>
      <c r="G56" s="8" t="n">
        <v>46070</v>
      </c>
      <c r="H56" s="8" t="n">
        <v>44698</v>
      </c>
      <c r="I56" s="5" t="inlineStr">
        <is>
          <t>Renewal</t>
        </is>
      </c>
      <c r="J56" s="7" t="n">
        <v>1485</v>
      </c>
      <c r="K56" s="9">
        <f>IFERROR(J56/E56,"")</f>
        <v/>
      </c>
    </row>
    <row r="57">
      <c r="A57" s="5" t="inlineStr">
        <is>
          <t>A2-118</t>
        </is>
      </c>
      <c r="B57" s="5" t="inlineStr">
        <is>
          <t>A2</t>
        </is>
      </c>
      <c r="C57" s="6" t="n">
        <v>1</v>
      </c>
      <c r="D57" s="6" t="n">
        <v>1</v>
      </c>
      <c r="E57" s="7" t="n">
        <v>795</v>
      </c>
      <c r="F57" s="5" t="inlineStr">
        <is>
          <t>Occupied</t>
        </is>
      </c>
      <c r="G57" s="8" t="n">
        <v>46099</v>
      </c>
      <c r="H57" s="8" t="n">
        <v>45095</v>
      </c>
      <c r="I57" s="5" t="inlineStr">
        <is>
          <t>Renewal</t>
        </is>
      </c>
      <c r="J57" s="7" t="n">
        <v>1553</v>
      </c>
      <c r="K57" s="9">
        <f>IFERROR(J57/E57,"")</f>
        <v/>
      </c>
    </row>
    <row r="58">
      <c r="A58" s="5" t="inlineStr">
        <is>
          <t>A2-119</t>
        </is>
      </c>
      <c r="B58" s="5" t="inlineStr">
        <is>
          <t>A2</t>
        </is>
      </c>
      <c r="C58" s="6" t="n">
        <v>1</v>
      </c>
      <c r="D58" s="6" t="n">
        <v>1</v>
      </c>
      <c r="E58" s="7" t="n">
        <v>795</v>
      </c>
      <c r="F58" s="5" t="inlineStr">
        <is>
          <t>Occupied</t>
        </is>
      </c>
      <c r="G58" s="8" t="n">
        <v>46131</v>
      </c>
      <c r="H58" s="8" t="n">
        <v>44396</v>
      </c>
      <c r="I58" s="5" t="inlineStr">
        <is>
          <t>Renewal</t>
        </is>
      </c>
      <c r="J58" s="7" t="n">
        <v>1530</v>
      </c>
      <c r="K58" s="9">
        <f>IFERROR(J58/E58,"")</f>
        <v/>
      </c>
    </row>
    <row r="59">
      <c r="A59" s="5" t="inlineStr">
        <is>
          <t>A2-120</t>
        </is>
      </c>
      <c r="B59" s="5" t="inlineStr">
        <is>
          <t>A2</t>
        </is>
      </c>
      <c r="C59" s="6" t="n">
        <v>1</v>
      </c>
      <c r="D59" s="6" t="n">
        <v>1</v>
      </c>
      <c r="E59" s="7" t="n">
        <v>795</v>
      </c>
      <c r="F59" s="5" t="inlineStr">
        <is>
          <t>Occupied</t>
        </is>
      </c>
      <c r="G59" s="8" t="n">
        <v>46162</v>
      </c>
      <c r="H59" s="8" t="n">
        <v>44793</v>
      </c>
      <c r="I59" s="5" t="inlineStr">
        <is>
          <t>Renewal</t>
        </is>
      </c>
      <c r="J59" s="7" t="n">
        <v>1507</v>
      </c>
      <c r="K59" s="9">
        <f>IFERROR(J59/E59,"")</f>
        <v/>
      </c>
    </row>
    <row r="60">
      <c r="A60" s="5" t="inlineStr">
        <is>
          <t>A2-121</t>
        </is>
      </c>
      <c r="B60" s="5" t="inlineStr">
        <is>
          <t>A2</t>
        </is>
      </c>
      <c r="C60" s="6" t="n">
        <v>1</v>
      </c>
      <c r="D60" s="6" t="n">
        <v>1</v>
      </c>
      <c r="E60" s="7" t="n">
        <v>795</v>
      </c>
      <c r="F60" s="5" t="inlineStr">
        <is>
          <t>Occupied</t>
        </is>
      </c>
      <c r="G60" s="8" t="n">
        <v>46043</v>
      </c>
      <c r="H60" s="8" t="n">
        <v>45190</v>
      </c>
      <c r="I60" s="5" t="inlineStr">
        <is>
          <t>Renewal</t>
        </is>
      </c>
      <c r="J60" s="7" t="n">
        <v>1484</v>
      </c>
      <c r="K60" s="9">
        <f>IFERROR(J60/E60,"")</f>
        <v/>
      </c>
    </row>
    <row r="61">
      <c r="A61" s="5" t="inlineStr">
        <is>
          <t>A2-122</t>
        </is>
      </c>
      <c r="B61" s="5" t="inlineStr">
        <is>
          <t>A2</t>
        </is>
      </c>
      <c r="C61" s="6" t="n">
        <v>1</v>
      </c>
      <c r="D61" s="6" t="n">
        <v>1</v>
      </c>
      <c r="E61" s="7" t="n">
        <v>795</v>
      </c>
      <c r="F61" s="5" t="inlineStr">
        <is>
          <t>Occupied</t>
        </is>
      </c>
      <c r="G61" s="8" t="n">
        <v>46075</v>
      </c>
      <c r="H61" s="8" t="n">
        <v>44491</v>
      </c>
      <c r="I61" s="5" t="inlineStr">
        <is>
          <t>Renewal</t>
        </is>
      </c>
      <c r="J61" s="7" t="n">
        <v>1552</v>
      </c>
      <c r="K61" s="9">
        <f>IFERROR(J61/E61,"")</f>
        <v/>
      </c>
    </row>
    <row r="62">
      <c r="A62" s="5" t="inlineStr">
        <is>
          <t>A2-123</t>
        </is>
      </c>
      <c r="B62" s="5" t="inlineStr">
        <is>
          <t>A2</t>
        </is>
      </c>
      <c r="C62" s="6" t="n">
        <v>1</v>
      </c>
      <c r="D62" s="6" t="n">
        <v>1</v>
      </c>
      <c r="E62" s="7" t="n">
        <v>795</v>
      </c>
      <c r="F62" s="5" t="inlineStr">
        <is>
          <t>Occupied</t>
        </is>
      </c>
      <c r="G62" s="8" t="n">
        <v>46104</v>
      </c>
      <c r="H62" s="8" t="n">
        <v>44888</v>
      </c>
      <c r="I62" s="5" t="inlineStr">
        <is>
          <t>Renewal</t>
        </is>
      </c>
      <c r="J62" s="7" t="n">
        <v>1529</v>
      </c>
      <c r="K62" s="9">
        <f>IFERROR(J62/E62,"")</f>
        <v/>
      </c>
    </row>
    <row r="63">
      <c r="A63" s="5" t="inlineStr">
        <is>
          <t>A2-124</t>
        </is>
      </c>
      <c r="B63" s="5" t="inlineStr">
        <is>
          <t>A2</t>
        </is>
      </c>
      <c r="C63" s="6" t="n">
        <v>1</v>
      </c>
      <c r="D63" s="6" t="n">
        <v>1</v>
      </c>
      <c r="E63" s="7" t="n">
        <v>795</v>
      </c>
      <c r="F63" s="5" t="inlineStr">
        <is>
          <t>Occupied</t>
        </is>
      </c>
      <c r="G63" s="8" t="n">
        <v>46136</v>
      </c>
      <c r="H63" s="8" t="n">
        <v>45284</v>
      </c>
      <c r="I63" s="5" t="inlineStr">
        <is>
          <t>Renewal</t>
        </is>
      </c>
      <c r="J63" s="7" t="n">
        <v>1506</v>
      </c>
      <c r="K63" s="9">
        <f>IFERROR(J63/E63,"")</f>
        <v/>
      </c>
    </row>
    <row r="64">
      <c r="A64" s="5" t="inlineStr">
        <is>
          <t>A2-125</t>
        </is>
      </c>
      <c r="B64" s="5" t="inlineStr">
        <is>
          <t>A2</t>
        </is>
      </c>
      <c r="C64" s="6" t="n">
        <v>1</v>
      </c>
      <c r="D64" s="6" t="n">
        <v>1</v>
      </c>
      <c r="E64" s="7" t="n">
        <v>795</v>
      </c>
      <c r="F64" s="5" t="inlineStr">
        <is>
          <t>Occupied</t>
        </is>
      </c>
      <c r="G64" s="8" t="n">
        <v>46167</v>
      </c>
      <c r="H64" s="8" t="n">
        <v>44221</v>
      </c>
      <c r="I64" s="5" t="inlineStr">
        <is>
          <t>Renewal</t>
        </is>
      </c>
      <c r="J64" s="7" t="n">
        <v>1483</v>
      </c>
      <c r="K64" s="9">
        <f>IFERROR(J64/E64,"")</f>
        <v/>
      </c>
    </row>
    <row r="65">
      <c r="A65" s="5" t="inlineStr">
        <is>
          <t>A2-126</t>
        </is>
      </c>
      <c r="B65" s="5" t="inlineStr">
        <is>
          <t>A2</t>
        </is>
      </c>
      <c r="C65" s="6" t="n">
        <v>1</v>
      </c>
      <c r="D65" s="6" t="n">
        <v>1</v>
      </c>
      <c r="E65" s="7" t="n">
        <v>795</v>
      </c>
      <c r="F65" s="5" t="inlineStr">
        <is>
          <t>Occupied</t>
        </is>
      </c>
      <c r="G65" s="8" t="n">
        <v>46048</v>
      </c>
      <c r="H65" s="8" t="n">
        <v>44618</v>
      </c>
      <c r="I65" s="5" t="inlineStr">
        <is>
          <t>Renewal</t>
        </is>
      </c>
      <c r="J65" s="7" t="n">
        <v>1551</v>
      </c>
      <c r="K65" s="9">
        <f>IFERROR(J65/E65,"")</f>
        <v/>
      </c>
    </row>
    <row r="66">
      <c r="A66" s="5" t="inlineStr">
        <is>
          <t>A2-127</t>
        </is>
      </c>
      <c r="B66" s="5" t="inlineStr">
        <is>
          <t>A2</t>
        </is>
      </c>
      <c r="C66" s="6" t="n">
        <v>1</v>
      </c>
      <c r="D66" s="6" t="n">
        <v>1</v>
      </c>
      <c r="E66" s="7" t="n">
        <v>795</v>
      </c>
      <c r="F66" s="5" t="inlineStr">
        <is>
          <t>Occupied</t>
        </is>
      </c>
      <c r="G66" s="8" t="n">
        <v>46080</v>
      </c>
      <c r="H66" s="8" t="n">
        <v>44986</v>
      </c>
      <c r="I66" s="5" t="inlineStr">
        <is>
          <t>Renewal</t>
        </is>
      </c>
      <c r="J66" s="7" t="n">
        <v>1528</v>
      </c>
      <c r="K66" s="9">
        <f>IFERROR(J66/E66,"")</f>
        <v/>
      </c>
    </row>
    <row r="67">
      <c r="A67" s="5" t="inlineStr">
        <is>
          <t>A2-128</t>
        </is>
      </c>
      <c r="B67" s="5" t="inlineStr">
        <is>
          <t>A2</t>
        </is>
      </c>
      <c r="C67" s="6" t="n">
        <v>1</v>
      </c>
      <c r="D67" s="6" t="n">
        <v>1</v>
      </c>
      <c r="E67" s="7" t="n">
        <v>795</v>
      </c>
      <c r="F67" s="5" t="inlineStr">
        <is>
          <t>Occupied</t>
        </is>
      </c>
      <c r="G67" s="8" t="n">
        <v>46082</v>
      </c>
      <c r="H67" s="8" t="n">
        <v>44288</v>
      </c>
      <c r="I67" s="5" t="inlineStr">
        <is>
          <t>Renewal</t>
        </is>
      </c>
      <c r="J67" s="7" t="n">
        <v>1505</v>
      </c>
      <c r="K67" s="9">
        <f>IFERROR(J67/E67,"")</f>
        <v/>
      </c>
    </row>
    <row r="68">
      <c r="A68" s="5" t="inlineStr">
        <is>
          <t>B1-101</t>
        </is>
      </c>
      <c r="B68" s="5" t="inlineStr">
        <is>
          <t>B1</t>
        </is>
      </c>
      <c r="C68" s="6" t="n">
        <v>2</v>
      </c>
      <c r="D68" s="6" t="n">
        <v>2</v>
      </c>
      <c r="E68" s="7" t="n">
        <v>1050</v>
      </c>
      <c r="F68" s="5" t="inlineStr">
        <is>
          <t>Occupied</t>
        </is>
      </c>
      <c r="G68" s="8" t="n">
        <v>45841</v>
      </c>
      <c r="H68" s="8" t="n">
        <v>45841</v>
      </c>
      <c r="I68" s="5" t="inlineStr">
        <is>
          <t>New</t>
        </is>
      </c>
      <c r="J68" s="7" t="n">
        <v>1831</v>
      </c>
      <c r="K68" s="9">
        <f>IFERROR(J68/E68,"")</f>
        <v/>
      </c>
    </row>
    <row r="69">
      <c r="A69" s="5" t="inlineStr">
        <is>
          <t>B1-102</t>
        </is>
      </c>
      <c r="B69" s="5" t="inlineStr">
        <is>
          <t>B1</t>
        </is>
      </c>
      <c r="C69" s="6" t="n">
        <v>2</v>
      </c>
      <c r="D69" s="6" t="n">
        <v>2</v>
      </c>
      <c r="E69" s="7" t="n">
        <v>1050</v>
      </c>
      <c r="F69" s="5" t="inlineStr">
        <is>
          <t>Occupied</t>
        </is>
      </c>
      <c r="G69" s="8" t="n">
        <v>45873</v>
      </c>
      <c r="H69" s="8" t="n">
        <v>45873</v>
      </c>
      <c r="I69" s="5" t="inlineStr">
        <is>
          <t>New</t>
        </is>
      </c>
      <c r="J69" s="7" t="n">
        <v>1820</v>
      </c>
      <c r="K69" s="9">
        <f>IFERROR(J69/E69,"")</f>
        <v/>
      </c>
    </row>
    <row r="70">
      <c r="A70" s="5" t="inlineStr">
        <is>
          <t>B1-103</t>
        </is>
      </c>
      <c r="B70" s="5" t="inlineStr">
        <is>
          <t>B1</t>
        </is>
      </c>
      <c r="C70" s="6" t="n">
        <v>2</v>
      </c>
      <c r="D70" s="6" t="n">
        <v>2</v>
      </c>
      <c r="E70" s="7" t="n">
        <v>1050</v>
      </c>
      <c r="F70" s="5" t="inlineStr">
        <is>
          <t>Occupied</t>
        </is>
      </c>
      <c r="G70" s="8" t="n">
        <v>45905</v>
      </c>
      <c r="H70" s="8" t="n">
        <v>45905</v>
      </c>
      <c r="I70" s="5" t="inlineStr">
        <is>
          <t>New</t>
        </is>
      </c>
      <c r="J70" s="7" t="n">
        <v>1809</v>
      </c>
      <c r="K70" s="9">
        <f>IFERROR(J70/E70,"")</f>
        <v/>
      </c>
    </row>
    <row r="71">
      <c r="A71" s="5" t="inlineStr">
        <is>
          <t>B1-104</t>
        </is>
      </c>
      <c r="B71" s="5" t="inlineStr">
        <is>
          <t>B1</t>
        </is>
      </c>
      <c r="C71" s="6" t="n">
        <v>2</v>
      </c>
      <c r="D71" s="6" t="n">
        <v>2</v>
      </c>
      <c r="E71" s="7" t="n">
        <v>1050</v>
      </c>
      <c r="F71" s="5" t="inlineStr">
        <is>
          <t>Occupied</t>
        </is>
      </c>
      <c r="G71" s="8" t="n">
        <v>45936</v>
      </c>
      <c r="H71" s="8" t="n">
        <v>45936</v>
      </c>
      <c r="I71" s="5" t="inlineStr">
        <is>
          <t>New</t>
        </is>
      </c>
      <c r="J71" s="7" t="n">
        <v>1798</v>
      </c>
      <c r="K71" s="9">
        <f>IFERROR(J71/E71,"")</f>
        <v/>
      </c>
    </row>
    <row r="72">
      <c r="A72" s="5" t="inlineStr">
        <is>
          <t>B1-105</t>
        </is>
      </c>
      <c r="B72" s="5" t="inlineStr">
        <is>
          <t>B1</t>
        </is>
      </c>
      <c r="C72" s="6" t="n">
        <v>2</v>
      </c>
      <c r="D72" s="6" t="n">
        <v>2</v>
      </c>
      <c r="E72" s="7" t="n">
        <v>1050</v>
      </c>
      <c r="F72" s="5" t="inlineStr">
        <is>
          <t>Occupied</t>
        </is>
      </c>
      <c r="G72" s="8" t="n">
        <v>45968</v>
      </c>
      <c r="H72" s="8" t="n">
        <v>45968</v>
      </c>
      <c r="I72" s="5" t="inlineStr">
        <is>
          <t>New</t>
        </is>
      </c>
      <c r="J72" s="7" t="n">
        <v>1868</v>
      </c>
      <c r="K72" s="9">
        <f>IFERROR(J72/E72,"")</f>
        <v/>
      </c>
    </row>
    <row r="73">
      <c r="A73" s="5" t="inlineStr">
        <is>
          <t>B1-106</t>
        </is>
      </c>
      <c r="B73" s="5" t="inlineStr">
        <is>
          <t>B1</t>
        </is>
      </c>
      <c r="C73" s="6" t="n">
        <v>2</v>
      </c>
      <c r="D73" s="6" t="n">
        <v>2</v>
      </c>
      <c r="E73" s="7" t="n">
        <v>1050</v>
      </c>
      <c r="F73" s="5" t="inlineStr">
        <is>
          <t>Occupied</t>
        </is>
      </c>
      <c r="G73" s="8" t="n">
        <v>45999</v>
      </c>
      <c r="H73" s="8" t="n">
        <v>45999</v>
      </c>
      <c r="I73" s="5" t="inlineStr">
        <is>
          <t>New</t>
        </is>
      </c>
      <c r="J73" s="7" t="n">
        <v>1857</v>
      </c>
      <c r="K73" s="9">
        <f>IFERROR(J73/E73,"")</f>
        <v/>
      </c>
    </row>
    <row r="74">
      <c r="A74" s="5" t="inlineStr">
        <is>
          <t>B1-107</t>
        </is>
      </c>
      <c r="B74" s="5" t="inlineStr">
        <is>
          <t>B1</t>
        </is>
      </c>
      <c r="C74" s="6" t="n">
        <v>2</v>
      </c>
      <c r="D74" s="6" t="n">
        <v>2</v>
      </c>
      <c r="E74" s="7" t="n">
        <v>1050</v>
      </c>
      <c r="F74" s="5" t="inlineStr">
        <is>
          <t>Occupied</t>
        </is>
      </c>
      <c r="G74" s="8" t="n">
        <v>46031</v>
      </c>
      <c r="H74" s="8" t="n">
        <v>46031</v>
      </c>
      <c r="I74" s="5" t="inlineStr">
        <is>
          <t>New</t>
        </is>
      </c>
      <c r="J74" s="7" t="n">
        <v>1846</v>
      </c>
      <c r="K74" s="9">
        <f>IFERROR(J74/E74,"")</f>
        <v/>
      </c>
    </row>
    <row r="75">
      <c r="A75" s="5" t="inlineStr">
        <is>
          <t>B1-108</t>
        </is>
      </c>
      <c r="B75" s="5" t="inlineStr">
        <is>
          <t>B1</t>
        </is>
      </c>
      <c r="C75" s="6" t="n">
        <v>2</v>
      </c>
      <c r="D75" s="6" t="n">
        <v>2</v>
      </c>
      <c r="E75" s="7" t="n">
        <v>1050</v>
      </c>
      <c r="F75" s="5" t="inlineStr">
        <is>
          <t>Occupied</t>
        </is>
      </c>
      <c r="G75" s="8" t="n">
        <v>46063</v>
      </c>
      <c r="H75" s="8" t="n">
        <v>46063</v>
      </c>
      <c r="I75" s="5" t="inlineStr">
        <is>
          <t>New</t>
        </is>
      </c>
      <c r="J75" s="7" t="n">
        <v>1835</v>
      </c>
      <c r="K75" s="9">
        <f>IFERROR(J75/E75,"")</f>
        <v/>
      </c>
    </row>
    <row r="76">
      <c r="A76" s="5" t="inlineStr">
        <is>
          <t>B1-109</t>
        </is>
      </c>
      <c r="B76" s="5" t="inlineStr">
        <is>
          <t>B1</t>
        </is>
      </c>
      <c r="C76" s="6" t="n">
        <v>2</v>
      </c>
      <c r="D76" s="6" t="n">
        <v>2</v>
      </c>
      <c r="E76" s="7" t="n">
        <v>1050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B1-110</t>
        </is>
      </c>
      <c r="B77" s="5" t="inlineStr">
        <is>
          <t>B1</t>
        </is>
      </c>
      <c r="C77" s="6" t="n">
        <v>2</v>
      </c>
      <c r="D77" s="6" t="n">
        <v>2</v>
      </c>
      <c r="E77" s="7" t="n">
        <v>1050</v>
      </c>
      <c r="F77" s="5" t="inlineStr">
        <is>
          <t>Occupied</t>
        </is>
      </c>
      <c r="G77" s="8" t="n">
        <v>46124</v>
      </c>
      <c r="H77" s="8" t="n">
        <v>46124</v>
      </c>
      <c r="I77" s="5" t="inlineStr">
        <is>
          <t>New</t>
        </is>
      </c>
      <c r="J77" s="7" t="n">
        <v>1813</v>
      </c>
      <c r="K77" s="9">
        <f>IFERROR(J77/E77,"")</f>
        <v/>
      </c>
    </row>
    <row r="78">
      <c r="A78" s="5" t="inlineStr">
        <is>
          <t>B1-111</t>
        </is>
      </c>
      <c r="B78" s="5" t="inlineStr">
        <is>
          <t>B1</t>
        </is>
      </c>
      <c r="C78" s="6" t="n">
        <v>2</v>
      </c>
      <c r="D78" s="6" t="n">
        <v>2</v>
      </c>
      <c r="E78" s="7" t="n">
        <v>1050</v>
      </c>
      <c r="F78" s="5" t="inlineStr">
        <is>
          <t>Occupied</t>
        </is>
      </c>
      <c r="G78" s="8" t="n">
        <v>46155</v>
      </c>
      <c r="H78" s="8" t="n">
        <v>46155</v>
      </c>
      <c r="I78" s="5" t="inlineStr">
        <is>
          <t>New</t>
        </is>
      </c>
      <c r="J78" s="7" t="n">
        <v>1802</v>
      </c>
      <c r="K78" s="9">
        <f>IFERROR(J78/E78,"")</f>
        <v/>
      </c>
    </row>
    <row r="79">
      <c r="A79" s="5" t="inlineStr">
        <is>
          <t>B1-112</t>
        </is>
      </c>
      <c r="B79" s="5" t="inlineStr">
        <is>
          <t>B1</t>
        </is>
      </c>
      <c r="C79" s="6" t="n">
        <v>2</v>
      </c>
      <c r="D79" s="6" t="n">
        <v>2</v>
      </c>
      <c r="E79" s="7" t="n">
        <v>1050</v>
      </c>
      <c r="F79" s="5" t="inlineStr">
        <is>
          <t>Occupied</t>
        </is>
      </c>
      <c r="G79" s="8" t="n">
        <v>45852</v>
      </c>
      <c r="H79" s="8" t="n">
        <v>45852</v>
      </c>
      <c r="I79" s="5" t="inlineStr">
        <is>
          <t>New</t>
        </is>
      </c>
      <c r="J79" s="7" t="n">
        <v>1872</v>
      </c>
      <c r="K79" s="9">
        <f>IFERROR(J79/E79,"")</f>
        <v/>
      </c>
    </row>
    <row r="80">
      <c r="A80" s="5" t="inlineStr">
        <is>
          <t>B1-113</t>
        </is>
      </c>
      <c r="B80" s="5" t="inlineStr">
        <is>
          <t>B1</t>
        </is>
      </c>
      <c r="C80" s="6" t="n">
        <v>2</v>
      </c>
      <c r="D80" s="6" t="n">
        <v>2</v>
      </c>
      <c r="E80" s="7" t="n">
        <v>1050</v>
      </c>
      <c r="F80" s="5" t="inlineStr">
        <is>
          <t>Occupied</t>
        </is>
      </c>
      <c r="G80" s="8" t="n">
        <v>46094</v>
      </c>
      <c r="H80" s="8" t="n">
        <v>44209</v>
      </c>
      <c r="I80" s="5" t="inlineStr">
        <is>
          <t>Renewal</t>
        </is>
      </c>
      <c r="J80" s="7" t="n">
        <v>1734</v>
      </c>
      <c r="K80" s="9">
        <f>IFERROR(J80/E80,"")</f>
        <v/>
      </c>
    </row>
    <row r="81">
      <c r="A81" s="5" t="inlineStr">
        <is>
          <t>B1-114</t>
        </is>
      </c>
      <c r="B81" s="5" t="inlineStr">
        <is>
          <t>B1</t>
        </is>
      </c>
      <c r="C81" s="6" t="n">
        <v>2</v>
      </c>
      <c r="D81" s="6" t="n">
        <v>2</v>
      </c>
      <c r="E81" s="7" t="n">
        <v>1050</v>
      </c>
      <c r="F81" s="5" t="inlineStr">
        <is>
          <t>Occupied</t>
        </is>
      </c>
      <c r="G81" s="8" t="n">
        <v>46126</v>
      </c>
      <c r="H81" s="8" t="n">
        <v>44606</v>
      </c>
      <c r="I81" s="5" t="inlineStr">
        <is>
          <t>Renewal</t>
        </is>
      </c>
      <c r="J81" s="7" t="n">
        <v>1802</v>
      </c>
      <c r="K81" s="9">
        <f>IFERROR(J81/E81,"")</f>
        <v/>
      </c>
    </row>
    <row r="82">
      <c r="A82" s="5" t="inlineStr">
        <is>
          <t>B1-115</t>
        </is>
      </c>
      <c r="B82" s="5" t="inlineStr">
        <is>
          <t>B1</t>
        </is>
      </c>
      <c r="C82" s="6" t="n">
        <v>2</v>
      </c>
      <c r="D82" s="6" t="n">
        <v>2</v>
      </c>
      <c r="E82" s="7" t="n">
        <v>1050</v>
      </c>
      <c r="F82" s="5" t="inlineStr">
        <is>
          <t>Occupied</t>
        </is>
      </c>
      <c r="G82" s="8" t="n">
        <v>46157</v>
      </c>
      <c r="H82" s="8" t="n">
        <v>45000</v>
      </c>
      <c r="I82" s="5" t="inlineStr">
        <is>
          <t>Renewal</t>
        </is>
      </c>
      <c r="J82" s="7" t="n">
        <v>1779</v>
      </c>
      <c r="K82" s="9">
        <f>IFERROR(J82/E82,"")</f>
        <v/>
      </c>
    </row>
    <row r="83">
      <c r="A83" s="5" t="inlineStr">
        <is>
          <t>B1-116</t>
        </is>
      </c>
      <c r="B83" s="5" t="inlineStr">
        <is>
          <t>B1</t>
        </is>
      </c>
      <c r="C83" s="6" t="n">
        <v>2</v>
      </c>
      <c r="D83" s="6" t="n">
        <v>2</v>
      </c>
      <c r="E83" s="7" t="n">
        <v>1050</v>
      </c>
      <c r="F83" s="5" t="inlineStr">
        <is>
          <t>Occupied</t>
        </is>
      </c>
      <c r="G83" s="8" t="n">
        <v>46038</v>
      </c>
      <c r="H83" s="8" t="n">
        <v>44302</v>
      </c>
      <c r="I83" s="5" t="inlineStr">
        <is>
          <t>Renewal</t>
        </is>
      </c>
      <c r="J83" s="7" t="n">
        <v>1756</v>
      </c>
      <c r="K83" s="9">
        <f>IFERROR(J83/E83,"")</f>
        <v/>
      </c>
    </row>
    <row r="84">
      <c r="A84" s="5" t="inlineStr">
        <is>
          <t>B1-117</t>
        </is>
      </c>
      <c r="B84" s="5" t="inlineStr">
        <is>
          <t>B1</t>
        </is>
      </c>
      <c r="C84" s="6" t="n">
        <v>2</v>
      </c>
      <c r="D84" s="6" t="n">
        <v>2</v>
      </c>
      <c r="E84" s="7" t="n">
        <v>1050</v>
      </c>
      <c r="F84" s="5" t="inlineStr">
        <is>
          <t>Occupied</t>
        </is>
      </c>
      <c r="G84" s="8" t="n">
        <v>46070</v>
      </c>
      <c r="H84" s="8" t="n">
        <v>44698</v>
      </c>
      <c r="I84" s="5" t="inlineStr">
        <is>
          <t>Renewal</t>
        </is>
      </c>
      <c r="J84" s="7" t="n">
        <v>1733</v>
      </c>
      <c r="K84" s="9">
        <f>IFERROR(J84/E84,"")</f>
        <v/>
      </c>
    </row>
    <row r="85">
      <c r="A85" s="5" t="inlineStr">
        <is>
          <t>B1-118</t>
        </is>
      </c>
      <c r="B85" s="5" t="inlineStr">
        <is>
          <t>B1</t>
        </is>
      </c>
      <c r="C85" s="6" t="n">
        <v>2</v>
      </c>
      <c r="D85" s="6" t="n">
        <v>2</v>
      </c>
      <c r="E85" s="7" t="n">
        <v>1050</v>
      </c>
      <c r="F85" s="5" t="inlineStr">
        <is>
          <t>Occupied</t>
        </is>
      </c>
      <c r="G85" s="8" t="n">
        <v>46099</v>
      </c>
      <c r="H85" s="8" t="n">
        <v>45095</v>
      </c>
      <c r="I85" s="5" t="inlineStr">
        <is>
          <t>Renewal</t>
        </is>
      </c>
      <c r="J85" s="7" t="n">
        <v>1801</v>
      </c>
      <c r="K85" s="9">
        <f>IFERROR(J85/E85,"")</f>
        <v/>
      </c>
    </row>
    <row r="86">
      <c r="A86" s="5" t="inlineStr">
        <is>
          <t>B1-119</t>
        </is>
      </c>
      <c r="B86" s="5" t="inlineStr">
        <is>
          <t>B1</t>
        </is>
      </c>
      <c r="C86" s="6" t="n">
        <v>2</v>
      </c>
      <c r="D86" s="6" t="n">
        <v>2</v>
      </c>
      <c r="E86" s="7" t="n">
        <v>1050</v>
      </c>
      <c r="F86" s="5" t="inlineStr">
        <is>
          <t>Occupied</t>
        </is>
      </c>
      <c r="G86" s="8" t="n">
        <v>46131</v>
      </c>
      <c r="H86" s="8" t="n">
        <v>44396</v>
      </c>
      <c r="I86" s="5" t="inlineStr">
        <is>
          <t>Renewal</t>
        </is>
      </c>
      <c r="J86" s="7" t="n">
        <v>1778</v>
      </c>
      <c r="K86" s="9">
        <f>IFERROR(J86/E86,"")</f>
        <v/>
      </c>
    </row>
    <row r="87">
      <c r="A87" s="5" t="inlineStr">
        <is>
          <t>B1-120</t>
        </is>
      </c>
      <c r="B87" s="5" t="inlineStr">
        <is>
          <t>B1</t>
        </is>
      </c>
      <c r="C87" s="6" t="n">
        <v>2</v>
      </c>
      <c r="D87" s="6" t="n">
        <v>2</v>
      </c>
      <c r="E87" s="7" t="n">
        <v>1050</v>
      </c>
      <c r="F87" s="5" t="inlineStr">
        <is>
          <t>Occupied</t>
        </is>
      </c>
      <c r="G87" s="8" t="n">
        <v>46162</v>
      </c>
      <c r="H87" s="8" t="n">
        <v>44793</v>
      </c>
      <c r="I87" s="5" t="inlineStr">
        <is>
          <t>Renewal</t>
        </is>
      </c>
      <c r="J87" s="7" t="n">
        <v>1755</v>
      </c>
      <c r="K87" s="9">
        <f>IFERROR(J87/E87,"")</f>
        <v/>
      </c>
    </row>
    <row r="88">
      <c r="A88" s="5" t="inlineStr">
        <is>
          <t>B1-121</t>
        </is>
      </c>
      <c r="B88" s="5" t="inlineStr">
        <is>
          <t>B1</t>
        </is>
      </c>
      <c r="C88" s="6" t="n">
        <v>2</v>
      </c>
      <c r="D88" s="6" t="n">
        <v>2</v>
      </c>
      <c r="E88" s="7" t="n">
        <v>1050</v>
      </c>
      <c r="F88" s="5" t="inlineStr">
        <is>
          <t>Occupied</t>
        </is>
      </c>
      <c r="G88" s="8" t="n">
        <v>46043</v>
      </c>
      <c r="H88" s="8" t="n">
        <v>45190</v>
      </c>
      <c r="I88" s="5" t="inlineStr">
        <is>
          <t>Renewal</t>
        </is>
      </c>
      <c r="J88" s="7" t="n">
        <v>1732</v>
      </c>
      <c r="K88" s="9">
        <f>IFERROR(J88/E88,"")</f>
        <v/>
      </c>
    </row>
    <row r="89">
      <c r="A89" s="5" t="inlineStr">
        <is>
          <t>B1-122</t>
        </is>
      </c>
      <c r="B89" s="5" t="inlineStr">
        <is>
          <t>B1</t>
        </is>
      </c>
      <c r="C89" s="6" t="n">
        <v>2</v>
      </c>
      <c r="D89" s="6" t="n">
        <v>2</v>
      </c>
      <c r="E89" s="7" t="n">
        <v>1050</v>
      </c>
      <c r="F89" s="5" t="inlineStr">
        <is>
          <t>Occupied</t>
        </is>
      </c>
      <c r="G89" s="8" t="n">
        <v>46075</v>
      </c>
      <c r="H89" s="8" t="n">
        <v>44491</v>
      </c>
      <c r="I89" s="5" t="inlineStr">
        <is>
          <t>Renewal</t>
        </is>
      </c>
      <c r="J89" s="7" t="n">
        <v>1800</v>
      </c>
      <c r="K89" s="9">
        <f>IFERROR(J89/E89,"")</f>
        <v/>
      </c>
    </row>
    <row r="90">
      <c r="A90" s="5" t="inlineStr">
        <is>
          <t>B1-123</t>
        </is>
      </c>
      <c r="B90" s="5" t="inlineStr">
        <is>
          <t>B1</t>
        </is>
      </c>
      <c r="C90" s="6" t="n">
        <v>2</v>
      </c>
      <c r="D90" s="6" t="n">
        <v>2</v>
      </c>
      <c r="E90" s="7" t="n">
        <v>1050</v>
      </c>
      <c r="F90" s="5" t="inlineStr">
        <is>
          <t>Occupied</t>
        </is>
      </c>
      <c r="G90" s="8" t="n">
        <v>46104</v>
      </c>
      <c r="H90" s="8" t="n">
        <v>44888</v>
      </c>
      <c r="I90" s="5" t="inlineStr">
        <is>
          <t>Renewal</t>
        </is>
      </c>
      <c r="J90" s="7" t="n">
        <v>1777</v>
      </c>
      <c r="K90" s="9">
        <f>IFERROR(J90/E90,"")</f>
        <v/>
      </c>
    </row>
    <row r="91">
      <c r="A91" s="5" t="inlineStr">
        <is>
          <t>B1-124</t>
        </is>
      </c>
      <c r="B91" s="5" t="inlineStr">
        <is>
          <t>B1</t>
        </is>
      </c>
      <c r="C91" s="6" t="n">
        <v>2</v>
      </c>
      <c r="D91" s="6" t="n">
        <v>2</v>
      </c>
      <c r="E91" s="7" t="n">
        <v>1050</v>
      </c>
      <c r="F91" s="5" t="inlineStr">
        <is>
          <t>Occupied</t>
        </is>
      </c>
      <c r="G91" s="8" t="n">
        <v>46136</v>
      </c>
      <c r="H91" s="8" t="n">
        <v>45284</v>
      </c>
      <c r="I91" s="5" t="inlineStr">
        <is>
          <t>Renewal</t>
        </is>
      </c>
      <c r="J91" s="7" t="n">
        <v>1754</v>
      </c>
      <c r="K91" s="9">
        <f>IFERROR(J91/E91,"")</f>
        <v/>
      </c>
    </row>
    <row r="92">
      <c r="A92" s="5" t="inlineStr">
        <is>
          <t>B1-125</t>
        </is>
      </c>
      <c r="B92" s="5" t="inlineStr">
        <is>
          <t>B1</t>
        </is>
      </c>
      <c r="C92" s="6" t="n">
        <v>2</v>
      </c>
      <c r="D92" s="6" t="n">
        <v>2</v>
      </c>
      <c r="E92" s="7" t="n">
        <v>1050</v>
      </c>
      <c r="F92" s="5" t="inlineStr">
        <is>
          <t>Occupied</t>
        </is>
      </c>
      <c r="G92" s="8" t="n">
        <v>46167</v>
      </c>
      <c r="H92" s="8" t="n">
        <v>44221</v>
      </c>
      <c r="I92" s="5" t="inlineStr">
        <is>
          <t>Renewal</t>
        </is>
      </c>
      <c r="J92" s="7" t="n">
        <v>1731</v>
      </c>
      <c r="K92" s="9">
        <f>IFERROR(J92/E92,"")</f>
        <v/>
      </c>
    </row>
    <row r="93">
      <c r="A93" s="5" t="inlineStr">
        <is>
          <t>B1-126</t>
        </is>
      </c>
      <c r="B93" s="5" t="inlineStr">
        <is>
          <t>B1</t>
        </is>
      </c>
      <c r="C93" s="6" t="n">
        <v>2</v>
      </c>
      <c r="D93" s="6" t="n">
        <v>2</v>
      </c>
      <c r="E93" s="7" t="n">
        <v>1050</v>
      </c>
      <c r="F93" s="5" t="inlineStr">
        <is>
          <t>Occupied</t>
        </is>
      </c>
      <c r="G93" s="8" t="n">
        <v>46048</v>
      </c>
      <c r="H93" s="8" t="n">
        <v>44618</v>
      </c>
      <c r="I93" s="5" t="inlineStr">
        <is>
          <t>Renewal</t>
        </is>
      </c>
      <c r="J93" s="7" t="n">
        <v>1799</v>
      </c>
      <c r="K93" s="9">
        <f>IFERROR(J93/E93,"")</f>
        <v/>
      </c>
    </row>
    <row r="94">
      <c r="A94" s="5" t="inlineStr">
        <is>
          <t>B1-127</t>
        </is>
      </c>
      <c r="B94" s="5" t="inlineStr">
        <is>
          <t>B1</t>
        </is>
      </c>
      <c r="C94" s="6" t="n">
        <v>2</v>
      </c>
      <c r="D94" s="6" t="n">
        <v>2</v>
      </c>
      <c r="E94" s="7" t="n">
        <v>1050</v>
      </c>
      <c r="F94" s="5" t="inlineStr">
        <is>
          <t>Occupied</t>
        </is>
      </c>
      <c r="G94" s="8" t="n">
        <v>46080</v>
      </c>
      <c r="H94" s="8" t="n">
        <v>44986</v>
      </c>
      <c r="I94" s="5" t="inlineStr">
        <is>
          <t>Renewal</t>
        </is>
      </c>
      <c r="J94" s="7" t="n">
        <v>1776</v>
      </c>
      <c r="K94" s="9">
        <f>IFERROR(J94/E94,"")</f>
        <v/>
      </c>
    </row>
    <row r="95">
      <c r="A95" s="5" t="inlineStr">
        <is>
          <t>B1-128</t>
        </is>
      </c>
      <c r="B95" s="5" t="inlineStr">
        <is>
          <t>B1</t>
        </is>
      </c>
      <c r="C95" s="6" t="n">
        <v>2</v>
      </c>
      <c r="D95" s="6" t="n">
        <v>2</v>
      </c>
      <c r="E95" s="7" t="n">
        <v>1050</v>
      </c>
      <c r="F95" s="5" t="inlineStr">
        <is>
          <t>Occupied</t>
        </is>
      </c>
      <c r="G95" s="8" t="n">
        <v>46082</v>
      </c>
      <c r="H95" s="8" t="n">
        <v>44288</v>
      </c>
      <c r="I95" s="5" t="inlineStr">
        <is>
          <t>Renewal</t>
        </is>
      </c>
      <c r="J95" s="7" t="n">
        <v>1753</v>
      </c>
      <c r="K95" s="9">
        <f>IFERROR(J95/E95,"")</f>
        <v/>
      </c>
    </row>
    <row r="96">
      <c r="A96" s="5" t="inlineStr">
        <is>
          <t>B1-129</t>
        </is>
      </c>
      <c r="B96" s="5" t="inlineStr">
        <is>
          <t>B1</t>
        </is>
      </c>
      <c r="C96" s="6" t="n">
        <v>2</v>
      </c>
      <c r="D96" s="6" t="n">
        <v>2</v>
      </c>
      <c r="E96" s="7" t="n">
        <v>1050</v>
      </c>
      <c r="F96" s="5" t="inlineStr">
        <is>
          <t>Occupied</t>
        </is>
      </c>
      <c r="G96" s="8" t="n">
        <v>46114</v>
      </c>
      <c r="H96" s="8" t="n">
        <v>44684</v>
      </c>
      <c r="I96" s="5" t="inlineStr">
        <is>
          <t>Renewal</t>
        </is>
      </c>
      <c r="J96" s="7" t="n">
        <v>1730</v>
      </c>
      <c r="K96" s="9">
        <f>IFERROR(J96/E96,"")</f>
        <v/>
      </c>
    </row>
    <row r="97">
      <c r="A97" s="5" t="inlineStr">
        <is>
          <t>B1-130</t>
        </is>
      </c>
      <c r="B97" s="5" t="inlineStr">
        <is>
          <t>B1</t>
        </is>
      </c>
      <c r="C97" s="6" t="n">
        <v>2</v>
      </c>
      <c r="D97" s="6" t="n">
        <v>2</v>
      </c>
      <c r="E97" s="7" t="n">
        <v>1050</v>
      </c>
      <c r="F97" s="5" t="inlineStr">
        <is>
          <t>Occupied</t>
        </is>
      </c>
      <c r="G97" s="8" t="n">
        <v>46145</v>
      </c>
      <c r="H97" s="8" t="n">
        <v>45081</v>
      </c>
      <c r="I97" s="5" t="inlineStr">
        <is>
          <t>Renewal</t>
        </is>
      </c>
      <c r="J97" s="7" t="n">
        <v>1798</v>
      </c>
      <c r="K97" s="9">
        <f>IFERROR(J97/E97,"")</f>
        <v/>
      </c>
    </row>
    <row r="98">
      <c r="A98" s="5" t="inlineStr">
        <is>
          <t>B1-131</t>
        </is>
      </c>
      <c r="B98" s="5" t="inlineStr">
        <is>
          <t>B1</t>
        </is>
      </c>
      <c r="C98" s="6" t="n">
        <v>2</v>
      </c>
      <c r="D98" s="6" t="n">
        <v>2</v>
      </c>
      <c r="E98" s="7" t="n">
        <v>1050</v>
      </c>
      <c r="F98" s="5" t="inlineStr">
        <is>
          <t>Occupied</t>
        </is>
      </c>
      <c r="G98" s="8" t="n">
        <v>46026</v>
      </c>
      <c r="H98" s="8" t="n">
        <v>44382</v>
      </c>
      <c r="I98" s="5" t="inlineStr">
        <is>
          <t>Renewal</t>
        </is>
      </c>
      <c r="J98" s="7" t="n">
        <v>1775</v>
      </c>
      <c r="K98" s="9">
        <f>IFERROR(J98/E98,"")</f>
        <v/>
      </c>
    </row>
    <row r="99">
      <c r="A99" s="5" t="inlineStr">
        <is>
          <t>B1-132</t>
        </is>
      </c>
      <c r="B99" s="5" t="inlineStr">
        <is>
          <t>B1</t>
        </is>
      </c>
      <c r="C99" s="6" t="n">
        <v>2</v>
      </c>
      <c r="D99" s="6" t="n">
        <v>2</v>
      </c>
      <c r="E99" s="7" t="n">
        <v>1050</v>
      </c>
      <c r="F99" s="5" t="inlineStr">
        <is>
          <t>Occupied</t>
        </is>
      </c>
      <c r="G99" s="8" t="n">
        <v>46058</v>
      </c>
      <c r="H99" s="8" t="n">
        <v>44779</v>
      </c>
      <c r="I99" s="5" t="inlineStr">
        <is>
          <t>Renewal</t>
        </is>
      </c>
      <c r="J99" s="7" t="n">
        <v>1752</v>
      </c>
      <c r="K99" s="9">
        <f>IFERROR(J99/E99,"")</f>
        <v/>
      </c>
    </row>
    <row r="100">
      <c r="A100" s="5" t="inlineStr">
        <is>
          <t>B1-133</t>
        </is>
      </c>
      <c r="B100" s="5" t="inlineStr">
        <is>
          <t>B1</t>
        </is>
      </c>
      <c r="C100" s="6" t="n">
        <v>2</v>
      </c>
      <c r="D100" s="6" t="n">
        <v>2</v>
      </c>
      <c r="E100" s="7" t="n">
        <v>1050</v>
      </c>
      <c r="F100" s="5" t="inlineStr">
        <is>
          <t>Occupied</t>
        </is>
      </c>
      <c r="G100" s="8" t="n">
        <v>46087</v>
      </c>
      <c r="H100" s="8" t="n">
        <v>45176</v>
      </c>
      <c r="I100" s="5" t="inlineStr">
        <is>
          <t>Renewal</t>
        </is>
      </c>
      <c r="J100" s="7" t="n">
        <v>1820</v>
      </c>
      <c r="K100" s="9">
        <f>IFERROR(J100/E100,"")</f>
        <v/>
      </c>
    </row>
    <row r="101">
      <c r="A101" s="5" t="inlineStr">
        <is>
          <t>B1-134</t>
        </is>
      </c>
      <c r="B101" s="5" t="inlineStr">
        <is>
          <t>B1</t>
        </is>
      </c>
      <c r="C101" s="6" t="n">
        <v>2</v>
      </c>
      <c r="D101" s="6" t="n">
        <v>2</v>
      </c>
      <c r="E101" s="7" t="n">
        <v>1050</v>
      </c>
      <c r="F101" s="5" t="inlineStr">
        <is>
          <t>Occupied</t>
        </is>
      </c>
      <c r="G101" s="8" t="n">
        <v>46119</v>
      </c>
      <c r="H101" s="8" t="n">
        <v>44477</v>
      </c>
      <c r="I101" s="5" t="inlineStr">
        <is>
          <t>Renewal</t>
        </is>
      </c>
      <c r="J101" s="7" t="n">
        <v>1797</v>
      </c>
      <c r="K101" s="9">
        <f>IFERROR(J101/E101,"")</f>
        <v/>
      </c>
    </row>
    <row r="102">
      <c r="A102" s="5" t="inlineStr">
        <is>
          <t>B1-135</t>
        </is>
      </c>
      <c r="B102" s="5" t="inlineStr">
        <is>
          <t>B1</t>
        </is>
      </c>
      <c r="C102" s="6" t="n">
        <v>2</v>
      </c>
      <c r="D102" s="6" t="n">
        <v>2</v>
      </c>
      <c r="E102" s="7" t="n">
        <v>1050</v>
      </c>
      <c r="F102" s="5" t="inlineStr">
        <is>
          <t>Occupied</t>
        </is>
      </c>
      <c r="G102" s="8" t="n">
        <v>46150</v>
      </c>
      <c r="H102" s="8" t="n">
        <v>44874</v>
      </c>
      <c r="I102" s="5" t="inlineStr">
        <is>
          <t>Renewal</t>
        </is>
      </c>
      <c r="J102" s="7" t="n">
        <v>1774</v>
      </c>
      <c r="K102" s="9">
        <f>IFERROR(J102/E102,"")</f>
        <v/>
      </c>
    </row>
    <row r="103">
      <c r="A103" s="5" t="inlineStr">
        <is>
          <t>B1-136</t>
        </is>
      </c>
      <c r="B103" s="5" t="inlineStr">
        <is>
          <t>B1</t>
        </is>
      </c>
      <c r="C103" s="6" t="n">
        <v>2</v>
      </c>
      <c r="D103" s="6" t="n">
        <v>2</v>
      </c>
      <c r="E103" s="7" t="n">
        <v>1050</v>
      </c>
      <c r="F103" s="5" t="inlineStr">
        <is>
          <t>Occupied</t>
        </is>
      </c>
      <c r="G103" s="8" t="n">
        <v>46031</v>
      </c>
      <c r="H103" s="8" t="n">
        <v>45270</v>
      </c>
      <c r="I103" s="5" t="inlineStr">
        <is>
          <t>Renewal</t>
        </is>
      </c>
      <c r="J103" s="7" t="n">
        <v>1751</v>
      </c>
      <c r="K103" s="9">
        <f>IFERROR(J103/E103,"")</f>
        <v/>
      </c>
    </row>
    <row r="104">
      <c r="A104" s="5" t="inlineStr">
        <is>
          <t>B1-137</t>
        </is>
      </c>
      <c r="B104" s="5" t="inlineStr">
        <is>
          <t>B1</t>
        </is>
      </c>
      <c r="C104" s="6" t="n">
        <v>2</v>
      </c>
      <c r="D104" s="6" t="n">
        <v>2</v>
      </c>
      <c r="E104" s="7" t="n">
        <v>1050</v>
      </c>
      <c r="F104" s="5" t="inlineStr">
        <is>
          <t>Occupied</t>
        </is>
      </c>
      <c r="G104" s="8" t="n">
        <v>46063</v>
      </c>
      <c r="H104" s="8" t="n">
        <v>44207</v>
      </c>
      <c r="I104" s="5" t="inlineStr">
        <is>
          <t>Renewal</t>
        </is>
      </c>
      <c r="J104" s="7" t="n">
        <v>1819</v>
      </c>
      <c r="K104" s="9">
        <f>IFERROR(J104/E104,"")</f>
        <v/>
      </c>
    </row>
    <row r="105">
      <c r="A105" s="5" t="inlineStr">
        <is>
          <t>B1-138</t>
        </is>
      </c>
      <c r="B105" s="5" t="inlineStr">
        <is>
          <t>B1</t>
        </is>
      </c>
      <c r="C105" s="6" t="n">
        <v>2</v>
      </c>
      <c r="D105" s="6" t="n">
        <v>2</v>
      </c>
      <c r="E105" s="7" t="n">
        <v>1050</v>
      </c>
      <c r="F105" s="5" t="inlineStr">
        <is>
          <t>Occupied</t>
        </is>
      </c>
      <c r="G105" s="8" t="n">
        <v>46092</v>
      </c>
      <c r="H105" s="8" t="n">
        <v>44604</v>
      </c>
      <c r="I105" s="5" t="inlineStr">
        <is>
          <t>Renewal</t>
        </is>
      </c>
      <c r="J105" s="7" t="n">
        <v>1796</v>
      </c>
      <c r="K105" s="9">
        <f>IFERROR(J105/E105,"")</f>
        <v/>
      </c>
    </row>
    <row r="106">
      <c r="A106" s="5" t="inlineStr">
        <is>
          <t>B1-139</t>
        </is>
      </c>
      <c r="B106" s="5" t="inlineStr">
        <is>
          <t>B1</t>
        </is>
      </c>
      <c r="C106" s="6" t="n">
        <v>2</v>
      </c>
      <c r="D106" s="6" t="n">
        <v>2</v>
      </c>
      <c r="E106" s="7" t="n">
        <v>1050</v>
      </c>
      <c r="F106" s="5" t="inlineStr">
        <is>
          <t>Occupied</t>
        </is>
      </c>
      <c r="G106" s="8" t="n">
        <v>46124</v>
      </c>
      <c r="H106" s="8" t="n">
        <v>44998</v>
      </c>
      <c r="I106" s="5" t="inlineStr">
        <is>
          <t>Renewal</t>
        </is>
      </c>
      <c r="J106" s="7" t="n">
        <v>1773</v>
      </c>
      <c r="K106" s="9">
        <f>IFERROR(J106/E106,"")</f>
        <v/>
      </c>
    </row>
    <row r="107">
      <c r="A107" s="5" t="inlineStr">
        <is>
          <t>B1-140</t>
        </is>
      </c>
      <c r="B107" s="5" t="inlineStr">
        <is>
          <t>B1</t>
        </is>
      </c>
      <c r="C107" s="6" t="n">
        <v>2</v>
      </c>
      <c r="D107" s="6" t="n">
        <v>2</v>
      </c>
      <c r="E107" s="7" t="n">
        <v>1050</v>
      </c>
      <c r="F107" s="5" t="inlineStr">
        <is>
          <t>Occupied</t>
        </is>
      </c>
      <c r="G107" s="8" t="n">
        <v>46155</v>
      </c>
      <c r="H107" s="8" t="n">
        <v>44300</v>
      </c>
      <c r="I107" s="5" t="inlineStr">
        <is>
          <t>Renewal</t>
        </is>
      </c>
      <c r="J107" s="7" t="n">
        <v>1750</v>
      </c>
      <c r="K107" s="9">
        <f>IFERROR(J107/E107,"")</f>
        <v/>
      </c>
    </row>
    <row r="108">
      <c r="A108" s="5" t="inlineStr">
        <is>
          <t>B1-141</t>
        </is>
      </c>
      <c r="B108" s="5" t="inlineStr">
        <is>
          <t>B1</t>
        </is>
      </c>
      <c r="C108" s="6" t="n">
        <v>2</v>
      </c>
      <c r="D108" s="6" t="n">
        <v>2</v>
      </c>
      <c r="E108" s="7" t="n">
        <v>1050</v>
      </c>
      <c r="F108" s="5" t="inlineStr">
        <is>
          <t>Occupied</t>
        </is>
      </c>
      <c r="G108" s="8" t="n">
        <v>46036</v>
      </c>
      <c r="H108" s="8" t="n">
        <v>44696</v>
      </c>
      <c r="I108" s="5" t="inlineStr">
        <is>
          <t>Renewal</t>
        </is>
      </c>
      <c r="J108" s="7" t="n">
        <v>1818</v>
      </c>
      <c r="K108" s="9">
        <f>IFERROR(J108/E108,"")</f>
        <v/>
      </c>
    </row>
    <row r="109">
      <c r="A109" s="5" t="inlineStr">
        <is>
          <t>B1-142</t>
        </is>
      </c>
      <c r="B109" s="5" t="inlineStr">
        <is>
          <t>B1</t>
        </is>
      </c>
      <c r="C109" s="6" t="n">
        <v>2</v>
      </c>
      <c r="D109" s="6" t="n">
        <v>2</v>
      </c>
      <c r="E109" s="7" t="n">
        <v>1050</v>
      </c>
      <c r="F109" s="5" t="inlineStr">
        <is>
          <t>Occupied</t>
        </is>
      </c>
      <c r="G109" s="8" t="n">
        <v>46068</v>
      </c>
      <c r="H109" s="8" t="n">
        <v>45093</v>
      </c>
      <c r="I109" s="5" t="inlineStr">
        <is>
          <t>Renewal</t>
        </is>
      </c>
      <c r="J109" s="7" t="n">
        <v>1795</v>
      </c>
      <c r="K109" s="9">
        <f>IFERROR(J109/E109,"")</f>
        <v/>
      </c>
    </row>
    <row r="110">
      <c r="A110" s="5" t="inlineStr">
        <is>
          <t>B2-101</t>
        </is>
      </c>
      <c r="B110" s="5" t="inlineStr">
        <is>
          <t>B2</t>
        </is>
      </c>
      <c r="C110" s="6" t="n">
        <v>2</v>
      </c>
      <c r="D110" s="6" t="n">
        <v>2</v>
      </c>
      <c r="E110" s="7" t="n">
        <v>1140</v>
      </c>
      <c r="F110" s="5" t="inlineStr">
        <is>
          <t>Occupied</t>
        </is>
      </c>
      <c r="G110" s="8" t="n">
        <v>45841</v>
      </c>
      <c r="H110" s="8" t="n">
        <v>45841</v>
      </c>
      <c r="I110" s="5" t="inlineStr">
        <is>
          <t>New</t>
        </is>
      </c>
      <c r="J110" s="7" t="n">
        <v>1930</v>
      </c>
      <c r="K110" s="9">
        <f>IFERROR(J110/E110,"")</f>
        <v/>
      </c>
    </row>
    <row r="111">
      <c r="A111" s="5" t="inlineStr">
        <is>
          <t>B2-102</t>
        </is>
      </c>
      <c r="B111" s="5" t="inlineStr">
        <is>
          <t>B2</t>
        </is>
      </c>
      <c r="C111" s="6" t="n">
        <v>2</v>
      </c>
      <c r="D111" s="6" t="n">
        <v>2</v>
      </c>
      <c r="E111" s="7" t="n">
        <v>1140</v>
      </c>
      <c r="F111" s="5" t="inlineStr">
        <is>
          <t>Occupied</t>
        </is>
      </c>
      <c r="G111" s="8" t="n">
        <v>45873</v>
      </c>
      <c r="H111" s="8" t="n">
        <v>45873</v>
      </c>
      <c r="I111" s="5" t="inlineStr">
        <is>
          <t>New</t>
        </is>
      </c>
      <c r="J111" s="7" t="n">
        <v>1919</v>
      </c>
      <c r="K111" s="9">
        <f>IFERROR(J111/E111,"")</f>
        <v/>
      </c>
    </row>
    <row r="112">
      <c r="A112" s="5" t="inlineStr">
        <is>
          <t>B2-103</t>
        </is>
      </c>
      <c r="B112" s="5" t="inlineStr">
        <is>
          <t>B2</t>
        </is>
      </c>
      <c r="C112" s="6" t="n">
        <v>2</v>
      </c>
      <c r="D112" s="6" t="n">
        <v>2</v>
      </c>
      <c r="E112" s="7" t="n">
        <v>1140</v>
      </c>
      <c r="F112" s="5" t="inlineStr">
        <is>
          <t>Occupied</t>
        </is>
      </c>
      <c r="G112" s="8" t="n">
        <v>45905</v>
      </c>
      <c r="H112" s="8" t="n">
        <v>45905</v>
      </c>
      <c r="I112" s="5" t="inlineStr">
        <is>
          <t>New</t>
        </is>
      </c>
      <c r="J112" s="7" t="n">
        <v>1908</v>
      </c>
      <c r="K112" s="9">
        <f>IFERROR(J112/E112,"")</f>
        <v/>
      </c>
    </row>
    <row r="113">
      <c r="A113" s="5" t="inlineStr">
        <is>
          <t>B2-104</t>
        </is>
      </c>
      <c r="B113" s="5" t="inlineStr">
        <is>
          <t>B2</t>
        </is>
      </c>
      <c r="C113" s="6" t="n">
        <v>2</v>
      </c>
      <c r="D113" s="6" t="n">
        <v>2</v>
      </c>
      <c r="E113" s="7" t="n">
        <v>1140</v>
      </c>
      <c r="F113" s="5" t="inlineStr">
        <is>
          <t>Occupied</t>
        </is>
      </c>
      <c r="G113" s="8" t="n">
        <v>45936</v>
      </c>
      <c r="H113" s="8" t="n">
        <v>45936</v>
      </c>
      <c r="I113" s="5" t="inlineStr">
        <is>
          <t>New</t>
        </is>
      </c>
      <c r="J113" s="7" t="n">
        <v>1897</v>
      </c>
      <c r="K113" s="9">
        <f>IFERROR(J113/E113,"")</f>
        <v/>
      </c>
    </row>
    <row r="114">
      <c r="A114" s="5" t="inlineStr">
        <is>
          <t>B2-105</t>
        </is>
      </c>
      <c r="B114" s="5" t="inlineStr">
        <is>
          <t>B2</t>
        </is>
      </c>
      <c r="C114" s="6" t="n">
        <v>2</v>
      </c>
      <c r="D114" s="6" t="n">
        <v>2</v>
      </c>
      <c r="E114" s="7" t="n">
        <v>1140</v>
      </c>
      <c r="F114" s="5" t="inlineStr">
        <is>
          <t>Occupied</t>
        </is>
      </c>
      <c r="G114" s="8" t="n">
        <v>45968</v>
      </c>
      <c r="H114" s="8" t="n">
        <v>45968</v>
      </c>
      <c r="I114" s="5" t="inlineStr">
        <is>
          <t>New</t>
        </is>
      </c>
      <c r="J114" s="7" t="n">
        <v>1886</v>
      </c>
      <c r="K114" s="9">
        <f>IFERROR(J114/E114,"")</f>
        <v/>
      </c>
    </row>
    <row r="115">
      <c r="A115" s="5" t="inlineStr">
        <is>
          <t>B2-106</t>
        </is>
      </c>
      <c r="B115" s="5" t="inlineStr">
        <is>
          <t>B2</t>
        </is>
      </c>
      <c r="C115" s="6" t="n">
        <v>2</v>
      </c>
      <c r="D115" s="6" t="n">
        <v>2</v>
      </c>
      <c r="E115" s="7" t="n">
        <v>1140</v>
      </c>
      <c r="F115" s="5" t="inlineStr">
        <is>
          <t>Occupied</t>
        </is>
      </c>
      <c r="G115" s="8" t="n">
        <v>45999</v>
      </c>
      <c r="H115" s="8" t="n">
        <v>45999</v>
      </c>
      <c r="I115" s="5" t="inlineStr">
        <is>
          <t>New</t>
        </is>
      </c>
      <c r="J115" s="7" t="n">
        <v>1875</v>
      </c>
      <c r="K115" s="9">
        <f>IFERROR(J115/E115,"")</f>
        <v/>
      </c>
    </row>
    <row r="116">
      <c r="A116" s="5" t="inlineStr">
        <is>
          <t>B2-107</t>
        </is>
      </c>
      <c r="B116" s="5" t="inlineStr">
        <is>
          <t>B2</t>
        </is>
      </c>
      <c r="C116" s="6" t="n">
        <v>2</v>
      </c>
      <c r="D116" s="6" t="n">
        <v>2</v>
      </c>
      <c r="E116" s="7" t="n">
        <v>1140</v>
      </c>
      <c r="F116" s="5" t="inlineStr">
        <is>
          <t>Occupied</t>
        </is>
      </c>
      <c r="G116" s="8" t="n">
        <v>46031</v>
      </c>
      <c r="H116" s="8" t="n">
        <v>46031</v>
      </c>
      <c r="I116" s="5" t="inlineStr">
        <is>
          <t>New</t>
        </is>
      </c>
      <c r="J116" s="7" t="n">
        <v>1945</v>
      </c>
      <c r="K116" s="9">
        <f>IFERROR(J116/E116,"")</f>
        <v/>
      </c>
    </row>
    <row r="117">
      <c r="A117" s="5" t="inlineStr">
        <is>
          <t>B2-108</t>
        </is>
      </c>
      <c r="B117" s="5" t="inlineStr">
        <is>
          <t>B2</t>
        </is>
      </c>
      <c r="C117" s="6" t="n">
        <v>2</v>
      </c>
      <c r="D117" s="6" t="n">
        <v>2</v>
      </c>
      <c r="E117" s="7" t="n">
        <v>1140</v>
      </c>
      <c r="F117" s="5" t="inlineStr">
        <is>
          <t>Occupied</t>
        </is>
      </c>
      <c r="G117" s="8" t="n">
        <v>46063</v>
      </c>
      <c r="H117" s="8" t="n">
        <v>46063</v>
      </c>
      <c r="I117" s="5" t="inlineStr">
        <is>
          <t>New</t>
        </is>
      </c>
      <c r="J117" s="7" t="n">
        <v>1934</v>
      </c>
      <c r="K117" s="9">
        <f>IFERROR(J117/E117,"")</f>
        <v/>
      </c>
    </row>
    <row r="118">
      <c r="A118" s="5" t="inlineStr">
        <is>
          <t>B2-109</t>
        </is>
      </c>
      <c r="B118" s="5" t="inlineStr">
        <is>
          <t>B2</t>
        </is>
      </c>
      <c r="C118" s="6" t="n">
        <v>2</v>
      </c>
      <c r="D118" s="6" t="n">
        <v>2</v>
      </c>
      <c r="E118" s="7" t="n">
        <v>1140</v>
      </c>
      <c r="F118" s="5" t="inlineStr">
        <is>
          <t>Occupied</t>
        </is>
      </c>
      <c r="G118" s="8" t="n">
        <v>46092</v>
      </c>
      <c r="H118" s="8" t="n">
        <v>46092</v>
      </c>
      <c r="I118" s="5" t="inlineStr">
        <is>
          <t>New</t>
        </is>
      </c>
      <c r="J118" s="7" t="n">
        <v>1923</v>
      </c>
      <c r="K118" s="9">
        <f>IFERROR(J118/E118,"")</f>
        <v/>
      </c>
    </row>
    <row r="119">
      <c r="A119" s="5" t="inlineStr">
        <is>
          <t>B2-110</t>
        </is>
      </c>
      <c r="B119" s="5" t="inlineStr">
        <is>
          <t>B2</t>
        </is>
      </c>
      <c r="C119" s="6" t="n">
        <v>2</v>
      </c>
      <c r="D119" s="6" t="n">
        <v>2</v>
      </c>
      <c r="E119" s="7" t="n">
        <v>1140</v>
      </c>
      <c r="F119" s="5" t="inlineStr">
        <is>
          <t>Occupied</t>
        </is>
      </c>
      <c r="G119" s="8" t="n">
        <v>46152</v>
      </c>
      <c r="H119" s="8" t="n">
        <v>44479</v>
      </c>
      <c r="I119" s="5" t="inlineStr">
        <is>
          <t>Renewal</t>
        </is>
      </c>
      <c r="J119" s="7" t="n">
        <v>1822</v>
      </c>
      <c r="K119" s="9">
        <f>IFERROR(J119/E119,"")</f>
        <v/>
      </c>
    </row>
    <row r="120">
      <c r="A120" s="5" t="inlineStr">
        <is>
          <t>B2-111</t>
        </is>
      </c>
      <c r="B120" s="5" t="inlineStr">
        <is>
          <t>B2</t>
        </is>
      </c>
      <c r="C120" s="6" t="n">
        <v>2</v>
      </c>
      <c r="D120" s="6" t="n">
        <v>2</v>
      </c>
      <c r="E120" s="7" t="n">
        <v>1140</v>
      </c>
      <c r="F120" s="5" t="inlineStr">
        <is>
          <t>Occupied</t>
        </is>
      </c>
      <c r="G120" s="8" t="n">
        <v>46033</v>
      </c>
      <c r="H120" s="8" t="n">
        <v>44876</v>
      </c>
      <c r="I120" s="5" t="inlineStr">
        <is>
          <t>Renewal</t>
        </is>
      </c>
      <c r="J120" s="7" t="n">
        <v>1890</v>
      </c>
      <c r="K120" s="9">
        <f>IFERROR(J120/E120,"")</f>
        <v/>
      </c>
    </row>
    <row r="121">
      <c r="A121" s="5" t="inlineStr">
        <is>
          <t>B2-112</t>
        </is>
      </c>
      <c r="B121" s="5" t="inlineStr">
        <is>
          <t>B2</t>
        </is>
      </c>
      <c r="C121" s="6" t="n">
        <v>2</v>
      </c>
      <c r="D121" s="6" t="n">
        <v>2</v>
      </c>
      <c r="E121" s="7" t="n">
        <v>1140</v>
      </c>
      <c r="F121" s="5" t="inlineStr">
        <is>
          <t>Occupied</t>
        </is>
      </c>
      <c r="G121" s="8" t="n">
        <v>46065</v>
      </c>
      <c r="H121" s="8" t="n">
        <v>45272</v>
      </c>
      <c r="I121" s="5" t="inlineStr">
        <is>
          <t>Renewal</t>
        </is>
      </c>
      <c r="J121" s="7" t="n">
        <v>1867</v>
      </c>
      <c r="K121" s="9">
        <f>IFERROR(J121/E121,"")</f>
        <v/>
      </c>
    </row>
    <row r="122">
      <c r="A122" s="5" t="inlineStr">
        <is>
          <t>B2-113</t>
        </is>
      </c>
      <c r="B122" s="5" t="inlineStr">
        <is>
          <t>B2</t>
        </is>
      </c>
      <c r="C122" s="6" t="n">
        <v>2</v>
      </c>
      <c r="D122" s="6" t="n">
        <v>2</v>
      </c>
      <c r="E122" s="7" t="n">
        <v>1140</v>
      </c>
      <c r="F122" s="5" t="inlineStr">
        <is>
          <t>Occupied</t>
        </is>
      </c>
      <c r="G122" s="8" t="n">
        <v>46094</v>
      </c>
      <c r="H122" s="8" t="n">
        <v>44209</v>
      </c>
      <c r="I122" s="5" t="inlineStr">
        <is>
          <t>Renewal</t>
        </is>
      </c>
      <c r="J122" s="7" t="n">
        <v>1844</v>
      </c>
      <c r="K122" s="9">
        <f>IFERROR(J122/E122,"")</f>
        <v/>
      </c>
    </row>
    <row r="123">
      <c r="A123" s="5" t="inlineStr">
        <is>
          <t>B2-114</t>
        </is>
      </c>
      <c r="B123" s="5" t="inlineStr">
        <is>
          <t>B2</t>
        </is>
      </c>
      <c r="C123" s="6" t="n">
        <v>2</v>
      </c>
      <c r="D123" s="6" t="n">
        <v>2</v>
      </c>
      <c r="E123" s="7" t="n">
        <v>1140</v>
      </c>
      <c r="F123" s="5" t="inlineStr">
        <is>
          <t>Occupied</t>
        </is>
      </c>
      <c r="G123" s="8" t="n">
        <v>46126</v>
      </c>
      <c r="H123" s="8" t="n">
        <v>44606</v>
      </c>
      <c r="I123" s="5" t="inlineStr">
        <is>
          <t>Renewal</t>
        </is>
      </c>
      <c r="J123" s="7" t="n">
        <v>1821</v>
      </c>
      <c r="K123" s="9">
        <f>IFERROR(J123/E123,"")</f>
        <v/>
      </c>
    </row>
    <row r="124">
      <c r="A124" s="5" t="inlineStr">
        <is>
          <t>B2-115</t>
        </is>
      </c>
      <c r="B124" s="5" t="inlineStr">
        <is>
          <t>B2</t>
        </is>
      </c>
      <c r="C124" s="6" t="n">
        <v>2</v>
      </c>
      <c r="D124" s="6" t="n">
        <v>2</v>
      </c>
      <c r="E124" s="7" t="n">
        <v>1140</v>
      </c>
      <c r="F124" s="5" t="inlineStr">
        <is>
          <t>Occupied</t>
        </is>
      </c>
      <c r="G124" s="8" t="n">
        <v>46157</v>
      </c>
      <c r="H124" s="8" t="n">
        <v>45000</v>
      </c>
      <c r="I124" s="5" t="inlineStr">
        <is>
          <t>Renewal</t>
        </is>
      </c>
      <c r="J124" s="7" t="n">
        <v>1889</v>
      </c>
      <c r="K124" s="9">
        <f>IFERROR(J124/E124,"")</f>
        <v/>
      </c>
    </row>
    <row r="125">
      <c r="A125" s="5" t="inlineStr">
        <is>
          <t>B2-116</t>
        </is>
      </c>
      <c r="B125" s="5" t="inlineStr">
        <is>
          <t>B2</t>
        </is>
      </c>
      <c r="C125" s="6" t="n">
        <v>2</v>
      </c>
      <c r="D125" s="6" t="n">
        <v>2</v>
      </c>
      <c r="E125" s="7" t="n">
        <v>1140</v>
      </c>
      <c r="F125" s="5" t="inlineStr">
        <is>
          <t>Occupied</t>
        </is>
      </c>
      <c r="G125" s="8" t="n">
        <v>46038</v>
      </c>
      <c r="H125" s="8" t="n">
        <v>44302</v>
      </c>
      <c r="I125" s="5" t="inlineStr">
        <is>
          <t>Renewal</t>
        </is>
      </c>
      <c r="J125" s="7" t="n">
        <v>1866</v>
      </c>
      <c r="K125" s="9">
        <f>IFERROR(J125/E125,"")</f>
        <v/>
      </c>
    </row>
    <row r="126">
      <c r="A126" s="5" t="inlineStr">
        <is>
          <t>B2-117</t>
        </is>
      </c>
      <c r="B126" s="5" t="inlineStr">
        <is>
          <t>B2</t>
        </is>
      </c>
      <c r="C126" s="6" t="n">
        <v>2</v>
      </c>
      <c r="D126" s="6" t="n">
        <v>2</v>
      </c>
      <c r="E126" s="7" t="n">
        <v>1140</v>
      </c>
      <c r="F126" s="5" t="inlineStr">
        <is>
          <t>Model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B2-118</t>
        </is>
      </c>
      <c r="B127" s="5" t="inlineStr">
        <is>
          <t>B2</t>
        </is>
      </c>
      <c r="C127" s="6" t="n">
        <v>2</v>
      </c>
      <c r="D127" s="6" t="n">
        <v>2</v>
      </c>
      <c r="E127" s="7" t="n">
        <v>1140</v>
      </c>
      <c r="F127" s="5" t="inlineStr">
        <is>
          <t>Occupied</t>
        </is>
      </c>
      <c r="G127" s="8" t="n">
        <v>46099</v>
      </c>
      <c r="H127" s="8" t="n">
        <v>45095</v>
      </c>
      <c r="I127" s="5" t="inlineStr">
        <is>
          <t>Renewal</t>
        </is>
      </c>
      <c r="J127" s="7" t="n">
        <v>1820</v>
      </c>
      <c r="K127" s="9">
        <f>IFERROR(J127/E127,"")</f>
        <v/>
      </c>
    </row>
    <row r="128">
      <c r="A128" s="5" t="inlineStr">
        <is>
          <t>B2-119</t>
        </is>
      </c>
      <c r="B128" s="5" t="inlineStr">
        <is>
          <t>B2</t>
        </is>
      </c>
      <c r="C128" s="6" t="n">
        <v>2</v>
      </c>
      <c r="D128" s="6" t="n">
        <v>2</v>
      </c>
      <c r="E128" s="7" t="n">
        <v>1140</v>
      </c>
      <c r="F128" s="5" t="inlineStr">
        <is>
          <t>Occupied</t>
        </is>
      </c>
      <c r="G128" s="8" t="n">
        <v>46131</v>
      </c>
      <c r="H128" s="8" t="n">
        <v>44396</v>
      </c>
      <c r="I128" s="5" t="inlineStr">
        <is>
          <t>Renewal</t>
        </is>
      </c>
      <c r="J128" s="7" t="n">
        <v>1888</v>
      </c>
      <c r="K128" s="9">
        <f>IFERROR(J128/E128,"")</f>
        <v/>
      </c>
    </row>
    <row r="129">
      <c r="A129" s="5" t="inlineStr">
        <is>
          <t>B2-120</t>
        </is>
      </c>
      <c r="B129" s="5" t="inlineStr">
        <is>
          <t>B2</t>
        </is>
      </c>
      <c r="C129" s="6" t="n">
        <v>2</v>
      </c>
      <c r="D129" s="6" t="n">
        <v>2</v>
      </c>
      <c r="E129" s="7" t="n">
        <v>1140</v>
      </c>
      <c r="F129" s="5" t="inlineStr">
        <is>
          <t>Occupied</t>
        </is>
      </c>
      <c r="G129" s="8" t="n">
        <v>46162</v>
      </c>
      <c r="H129" s="8" t="n">
        <v>44793</v>
      </c>
      <c r="I129" s="5" t="inlineStr">
        <is>
          <t>Renewal</t>
        </is>
      </c>
      <c r="J129" s="7" t="n">
        <v>1865</v>
      </c>
      <c r="K129" s="9">
        <f>IFERROR(J129/E129,"")</f>
        <v/>
      </c>
    </row>
    <row r="130">
      <c r="A130" s="5" t="inlineStr">
        <is>
          <t>B2-121</t>
        </is>
      </c>
      <c r="B130" s="5" t="inlineStr">
        <is>
          <t>B2</t>
        </is>
      </c>
      <c r="C130" s="6" t="n">
        <v>2</v>
      </c>
      <c r="D130" s="6" t="n">
        <v>2</v>
      </c>
      <c r="E130" s="7" t="n">
        <v>1140</v>
      </c>
      <c r="F130" s="5" t="inlineStr">
        <is>
          <t>Occupied</t>
        </is>
      </c>
      <c r="G130" s="8" t="n">
        <v>46043</v>
      </c>
      <c r="H130" s="8" t="n">
        <v>45190</v>
      </c>
      <c r="I130" s="5" t="inlineStr">
        <is>
          <t>Renewal</t>
        </is>
      </c>
      <c r="J130" s="7" t="n">
        <v>1842</v>
      </c>
      <c r="K130" s="9">
        <f>IFERROR(J130/E130,"")</f>
        <v/>
      </c>
    </row>
    <row r="131">
      <c r="A131" s="5" t="inlineStr">
        <is>
          <t>B2-122</t>
        </is>
      </c>
      <c r="B131" s="5" t="inlineStr">
        <is>
          <t>B2</t>
        </is>
      </c>
      <c r="C131" s="6" t="n">
        <v>2</v>
      </c>
      <c r="D131" s="6" t="n">
        <v>2</v>
      </c>
      <c r="E131" s="7" t="n">
        <v>1140</v>
      </c>
      <c r="F131" s="5" t="inlineStr">
        <is>
          <t>Occupied</t>
        </is>
      </c>
      <c r="G131" s="8" t="n">
        <v>46075</v>
      </c>
      <c r="H131" s="8" t="n">
        <v>44491</v>
      </c>
      <c r="I131" s="5" t="inlineStr">
        <is>
          <t>Renewal</t>
        </is>
      </c>
      <c r="J131" s="7" t="n">
        <v>1819</v>
      </c>
      <c r="K131" s="9">
        <f>IFERROR(J131/E131,"")</f>
        <v/>
      </c>
    </row>
    <row r="132">
      <c r="A132" s="5" t="inlineStr">
        <is>
          <t>B2-123</t>
        </is>
      </c>
      <c r="B132" s="5" t="inlineStr">
        <is>
          <t>B2</t>
        </is>
      </c>
      <c r="C132" s="6" t="n">
        <v>2</v>
      </c>
      <c r="D132" s="6" t="n">
        <v>2</v>
      </c>
      <c r="E132" s="7" t="n">
        <v>1140</v>
      </c>
      <c r="F132" s="5" t="inlineStr">
        <is>
          <t>Occupied</t>
        </is>
      </c>
      <c r="G132" s="8" t="n">
        <v>46104</v>
      </c>
      <c r="H132" s="8" t="n">
        <v>44888</v>
      </c>
      <c r="I132" s="5" t="inlineStr">
        <is>
          <t>Renewal</t>
        </is>
      </c>
      <c r="J132" s="7" t="n">
        <v>1887</v>
      </c>
      <c r="K132" s="9">
        <f>IFERROR(J132/E132,"")</f>
        <v/>
      </c>
    </row>
    <row r="133">
      <c r="A133" s="5" t="inlineStr">
        <is>
          <t>B2-124</t>
        </is>
      </c>
      <c r="B133" s="5" t="inlineStr">
        <is>
          <t>B2</t>
        </is>
      </c>
      <c r="C133" s="6" t="n">
        <v>2</v>
      </c>
      <c r="D133" s="6" t="n">
        <v>2</v>
      </c>
      <c r="E133" s="7" t="n">
        <v>1140</v>
      </c>
      <c r="F133" s="5" t="inlineStr">
        <is>
          <t>Occupied</t>
        </is>
      </c>
      <c r="G133" s="8" t="n">
        <v>46136</v>
      </c>
      <c r="H133" s="8" t="n">
        <v>45284</v>
      </c>
      <c r="I133" s="5" t="inlineStr">
        <is>
          <t>Renewal</t>
        </is>
      </c>
      <c r="J133" s="7" t="n">
        <v>1864</v>
      </c>
      <c r="K133" s="9">
        <f>IFERROR(J133/E133,"")</f>
        <v/>
      </c>
    </row>
    <row r="134">
      <c r="A134" s="5" t="inlineStr">
        <is>
          <t>B2-125</t>
        </is>
      </c>
      <c r="B134" s="5" t="inlineStr">
        <is>
          <t>B2</t>
        </is>
      </c>
      <c r="C134" s="6" t="n">
        <v>2</v>
      </c>
      <c r="D134" s="6" t="n">
        <v>2</v>
      </c>
      <c r="E134" s="7" t="n">
        <v>1140</v>
      </c>
      <c r="F134" s="5" t="inlineStr">
        <is>
          <t>Occupied</t>
        </is>
      </c>
      <c r="G134" s="8" t="n">
        <v>46167</v>
      </c>
      <c r="H134" s="8" t="n">
        <v>44221</v>
      </c>
      <c r="I134" s="5" t="inlineStr">
        <is>
          <t>Renewal</t>
        </is>
      </c>
      <c r="J134" s="7" t="n">
        <v>1841</v>
      </c>
      <c r="K134" s="9">
        <f>IFERROR(J134/E134,"")</f>
        <v/>
      </c>
    </row>
    <row r="135">
      <c r="A135" s="5" t="inlineStr">
        <is>
          <t>B2-126</t>
        </is>
      </c>
      <c r="B135" s="5" t="inlineStr">
        <is>
          <t>B2</t>
        </is>
      </c>
      <c r="C135" s="6" t="n">
        <v>2</v>
      </c>
      <c r="D135" s="6" t="n">
        <v>2</v>
      </c>
      <c r="E135" s="7" t="n">
        <v>1140</v>
      </c>
      <c r="F135" s="5" t="inlineStr">
        <is>
          <t>Occupied</t>
        </is>
      </c>
      <c r="G135" s="8" t="n">
        <v>46048</v>
      </c>
      <c r="H135" s="8" t="n">
        <v>44618</v>
      </c>
      <c r="I135" s="5" t="inlineStr">
        <is>
          <t>Renewal</t>
        </is>
      </c>
      <c r="J135" s="7" t="n">
        <v>1818</v>
      </c>
      <c r="K135" s="9">
        <f>IFERROR(J135/E135,"")</f>
        <v/>
      </c>
    </row>
    <row r="136">
      <c r="A136" s="5" t="inlineStr">
        <is>
          <t>B2-127</t>
        </is>
      </c>
      <c r="B136" s="5" t="inlineStr">
        <is>
          <t>B2</t>
        </is>
      </c>
      <c r="C136" s="6" t="n">
        <v>2</v>
      </c>
      <c r="D136" s="6" t="n">
        <v>2</v>
      </c>
      <c r="E136" s="7" t="n">
        <v>1140</v>
      </c>
      <c r="F136" s="5" t="inlineStr">
        <is>
          <t>Occupied</t>
        </is>
      </c>
      <c r="G136" s="8" t="n">
        <v>46080</v>
      </c>
      <c r="H136" s="8" t="n">
        <v>44986</v>
      </c>
      <c r="I136" s="5" t="inlineStr">
        <is>
          <t>Renewal</t>
        </is>
      </c>
      <c r="J136" s="7" t="n">
        <v>1886</v>
      </c>
      <c r="K136" s="9">
        <f>IFERROR(J136/E136,"")</f>
        <v/>
      </c>
    </row>
    <row r="137">
      <c r="A137" s="5" t="inlineStr">
        <is>
          <t>B2-128</t>
        </is>
      </c>
      <c r="B137" s="5" t="inlineStr">
        <is>
          <t>B2</t>
        </is>
      </c>
      <c r="C137" s="6" t="n">
        <v>2</v>
      </c>
      <c r="D137" s="6" t="n">
        <v>2</v>
      </c>
      <c r="E137" s="7" t="n">
        <v>1140</v>
      </c>
      <c r="F137" s="5" t="inlineStr">
        <is>
          <t>Occupied</t>
        </is>
      </c>
      <c r="G137" s="8" t="n">
        <v>46082</v>
      </c>
      <c r="H137" s="8" t="n">
        <v>44288</v>
      </c>
      <c r="I137" s="5" t="inlineStr">
        <is>
          <t>Renewal</t>
        </is>
      </c>
      <c r="J137" s="7" t="n">
        <v>1863</v>
      </c>
      <c r="K137" s="9">
        <f>IFERROR(J137/E137,"")</f>
        <v/>
      </c>
    </row>
    <row r="138">
      <c r="A138" s="5" t="inlineStr">
        <is>
          <t>B2-129</t>
        </is>
      </c>
      <c r="B138" s="5" t="inlineStr">
        <is>
          <t>B2</t>
        </is>
      </c>
      <c r="C138" s="6" t="n">
        <v>2</v>
      </c>
      <c r="D138" s="6" t="n">
        <v>2</v>
      </c>
      <c r="E138" s="7" t="n">
        <v>1140</v>
      </c>
      <c r="F138" s="5" t="inlineStr">
        <is>
          <t>Occupied</t>
        </is>
      </c>
      <c r="G138" s="8" t="n">
        <v>46114</v>
      </c>
      <c r="H138" s="8" t="n">
        <v>44684</v>
      </c>
      <c r="I138" s="5" t="inlineStr">
        <is>
          <t>Renewal</t>
        </is>
      </c>
      <c r="J138" s="7" t="n">
        <v>1840</v>
      </c>
      <c r="K138" s="9">
        <f>IFERROR(J138/E138,"")</f>
        <v/>
      </c>
    </row>
    <row r="139">
      <c r="A139" s="5" t="inlineStr">
        <is>
          <t>B2-130</t>
        </is>
      </c>
      <c r="B139" s="5" t="inlineStr">
        <is>
          <t>B2</t>
        </is>
      </c>
      <c r="C139" s="6" t="n">
        <v>2</v>
      </c>
      <c r="D139" s="6" t="n">
        <v>2</v>
      </c>
      <c r="E139" s="7" t="n">
        <v>1140</v>
      </c>
      <c r="F139" s="5" t="inlineStr">
        <is>
          <t>Occupied</t>
        </is>
      </c>
      <c r="G139" s="8" t="n">
        <v>46145</v>
      </c>
      <c r="H139" s="8" t="n">
        <v>45081</v>
      </c>
      <c r="I139" s="5" t="inlineStr">
        <is>
          <t>Renewal</t>
        </is>
      </c>
      <c r="J139" s="7" t="n">
        <v>1817</v>
      </c>
      <c r="K139" s="9">
        <f>IFERROR(J139/E139,"")</f>
        <v/>
      </c>
    </row>
    <row r="140">
      <c r="A140" s="5" t="inlineStr">
        <is>
          <t>B2-131</t>
        </is>
      </c>
      <c r="B140" s="5" t="inlineStr">
        <is>
          <t>B2</t>
        </is>
      </c>
      <c r="C140" s="6" t="n">
        <v>2</v>
      </c>
      <c r="D140" s="6" t="n">
        <v>2</v>
      </c>
      <c r="E140" s="7" t="n">
        <v>1140</v>
      </c>
      <c r="F140" s="5" t="inlineStr">
        <is>
          <t>Occupied</t>
        </is>
      </c>
      <c r="G140" s="8" t="n">
        <v>46026</v>
      </c>
      <c r="H140" s="8" t="n">
        <v>44382</v>
      </c>
      <c r="I140" s="5" t="inlineStr">
        <is>
          <t>Renewal</t>
        </is>
      </c>
      <c r="J140" s="7" t="n">
        <v>1885</v>
      </c>
      <c r="K140" s="9">
        <f>IFERROR(J140/E140,"")</f>
        <v/>
      </c>
    </row>
    <row r="141">
      <c r="A141" s="5" t="inlineStr">
        <is>
          <t>B2-132</t>
        </is>
      </c>
      <c r="B141" s="5" t="inlineStr">
        <is>
          <t>B2</t>
        </is>
      </c>
      <c r="C141" s="6" t="n">
        <v>2</v>
      </c>
      <c r="D141" s="6" t="n">
        <v>2</v>
      </c>
      <c r="E141" s="7" t="n">
        <v>1140</v>
      </c>
      <c r="F141" s="5" t="inlineStr">
        <is>
          <t>Occupied</t>
        </is>
      </c>
      <c r="G141" s="8" t="n">
        <v>46058</v>
      </c>
      <c r="H141" s="8" t="n">
        <v>44779</v>
      </c>
      <c r="I141" s="5" t="inlineStr">
        <is>
          <t>Renewal</t>
        </is>
      </c>
      <c r="J141" s="7" t="n">
        <v>1862</v>
      </c>
      <c r="K141" s="9">
        <f>IFERROR(J141/E141,"")</f>
        <v/>
      </c>
    </row>
    <row r="142">
      <c r="A142" s="5" t="inlineStr">
        <is>
          <t>B2-133</t>
        </is>
      </c>
      <c r="B142" s="5" t="inlineStr">
        <is>
          <t>B2</t>
        </is>
      </c>
      <c r="C142" s="6" t="n">
        <v>2</v>
      </c>
      <c r="D142" s="6" t="n">
        <v>2</v>
      </c>
      <c r="E142" s="7" t="n">
        <v>1140</v>
      </c>
      <c r="F142" s="5" t="inlineStr">
        <is>
          <t>Occupied</t>
        </is>
      </c>
      <c r="G142" s="8" t="n">
        <v>46087</v>
      </c>
      <c r="H142" s="8" t="n">
        <v>45176</v>
      </c>
      <c r="I142" s="5" t="inlineStr">
        <is>
          <t>Renewal</t>
        </is>
      </c>
      <c r="J142" s="7" t="n">
        <v>1839</v>
      </c>
      <c r="K142" s="9">
        <f>IFERROR(J142/E142,"")</f>
        <v/>
      </c>
    </row>
    <row r="143">
      <c r="A143" s="5" t="inlineStr">
        <is>
          <t>B2-134</t>
        </is>
      </c>
      <c r="B143" s="5" t="inlineStr">
        <is>
          <t>B2</t>
        </is>
      </c>
      <c r="C143" s="6" t="n">
        <v>2</v>
      </c>
      <c r="D143" s="6" t="n">
        <v>2</v>
      </c>
      <c r="E143" s="7" t="n">
        <v>1140</v>
      </c>
      <c r="F143" s="5" t="inlineStr">
        <is>
          <t>Occupied</t>
        </is>
      </c>
      <c r="G143" s="8" t="n">
        <v>46119</v>
      </c>
      <c r="H143" s="8" t="n">
        <v>44477</v>
      </c>
      <c r="I143" s="5" t="inlineStr">
        <is>
          <t>Renewal</t>
        </is>
      </c>
      <c r="J143" s="7" t="n">
        <v>1816</v>
      </c>
      <c r="K143" s="9">
        <f>IFERROR(J143/E143,"")</f>
        <v/>
      </c>
    </row>
    <row r="144">
      <c r="A144" s="5" t="inlineStr">
        <is>
          <t>B2-135</t>
        </is>
      </c>
      <c r="B144" s="5" t="inlineStr">
        <is>
          <t>B2</t>
        </is>
      </c>
      <c r="C144" s="6" t="n">
        <v>2</v>
      </c>
      <c r="D144" s="6" t="n">
        <v>2</v>
      </c>
      <c r="E144" s="7" t="n">
        <v>1140</v>
      </c>
      <c r="F144" s="5" t="inlineStr">
        <is>
          <t>Occupied</t>
        </is>
      </c>
      <c r="G144" s="8" t="n">
        <v>46150</v>
      </c>
      <c r="H144" s="8" t="n">
        <v>44874</v>
      </c>
      <c r="I144" s="5" t="inlineStr">
        <is>
          <t>Renewal</t>
        </is>
      </c>
      <c r="J144" s="7" t="n">
        <v>1884</v>
      </c>
      <c r="K144" s="9">
        <f>IFERROR(J144/E144,"")</f>
        <v/>
      </c>
    </row>
    <row r="145">
      <c r="A145" s="5" t="inlineStr">
        <is>
          <t>B2-136</t>
        </is>
      </c>
      <c r="B145" s="5" t="inlineStr">
        <is>
          <t>B2</t>
        </is>
      </c>
      <c r="C145" s="6" t="n">
        <v>2</v>
      </c>
      <c r="D145" s="6" t="n">
        <v>2</v>
      </c>
      <c r="E145" s="7" t="n">
        <v>1140</v>
      </c>
      <c r="F145" s="5" t="inlineStr">
        <is>
          <t>Occupied</t>
        </is>
      </c>
      <c r="G145" s="8" t="n">
        <v>46031</v>
      </c>
      <c r="H145" s="8" t="n">
        <v>45270</v>
      </c>
      <c r="I145" s="5" t="inlineStr">
        <is>
          <t>Renewal</t>
        </is>
      </c>
      <c r="J145" s="7" t="n">
        <v>1861</v>
      </c>
      <c r="K145" s="9">
        <f>IFERROR(J145/E145,"")</f>
        <v/>
      </c>
    </row>
    <row r="146">
      <c r="A146" s="5" t="inlineStr">
        <is>
          <t>C1-101</t>
        </is>
      </c>
      <c r="B146" s="5" t="inlineStr">
        <is>
          <t>C1</t>
        </is>
      </c>
      <c r="C146" s="6" t="n">
        <v>3</v>
      </c>
      <c r="D146" s="6" t="n">
        <v>2</v>
      </c>
      <c r="E146" s="7" t="n">
        <v>1380</v>
      </c>
      <c r="F146" s="5" t="inlineStr">
        <is>
          <t>Occupied</t>
        </is>
      </c>
      <c r="G146" s="8" t="n">
        <v>45841</v>
      </c>
      <c r="H146" s="8" t="n">
        <v>45841</v>
      </c>
      <c r="I146" s="5" t="inlineStr">
        <is>
          <t>New</t>
        </is>
      </c>
      <c r="J146" s="7" t="n">
        <v>2184</v>
      </c>
      <c r="K146" s="9">
        <f>IFERROR(J146/E146,"")</f>
        <v/>
      </c>
    </row>
    <row r="147">
      <c r="A147" s="5" t="inlineStr">
        <is>
          <t>C1-102</t>
        </is>
      </c>
      <c r="B147" s="5" t="inlineStr">
        <is>
          <t>C1</t>
        </is>
      </c>
      <c r="C147" s="6" t="n">
        <v>3</v>
      </c>
      <c r="D147" s="6" t="n">
        <v>2</v>
      </c>
      <c r="E147" s="7" t="n">
        <v>1380</v>
      </c>
      <c r="F147" s="5" t="inlineStr">
        <is>
          <t>Occupied</t>
        </is>
      </c>
      <c r="G147" s="8" t="n">
        <v>45873</v>
      </c>
      <c r="H147" s="8" t="n">
        <v>45873</v>
      </c>
      <c r="I147" s="5" t="inlineStr">
        <is>
          <t>New</t>
        </is>
      </c>
      <c r="J147" s="7" t="n">
        <v>2173</v>
      </c>
      <c r="K147" s="9">
        <f>IFERROR(J147/E147,"")</f>
        <v/>
      </c>
    </row>
    <row r="148">
      <c r="A148" s="5" t="inlineStr">
        <is>
          <t>C1-103</t>
        </is>
      </c>
      <c r="B148" s="5" t="inlineStr">
        <is>
          <t>C1</t>
        </is>
      </c>
      <c r="C148" s="6" t="n">
        <v>3</v>
      </c>
      <c r="D148" s="6" t="n">
        <v>2</v>
      </c>
      <c r="E148" s="7" t="n">
        <v>1380</v>
      </c>
      <c r="F148" s="5" t="inlineStr">
        <is>
          <t>Occupied</t>
        </is>
      </c>
      <c r="G148" s="8" t="n">
        <v>45905</v>
      </c>
      <c r="H148" s="8" t="n">
        <v>45905</v>
      </c>
      <c r="I148" s="5" t="inlineStr">
        <is>
          <t>New</t>
        </is>
      </c>
      <c r="J148" s="7" t="n">
        <v>2162</v>
      </c>
      <c r="K148" s="9">
        <f>IFERROR(J148/E148,"")</f>
        <v/>
      </c>
    </row>
    <row r="149">
      <c r="A149" s="5" t="inlineStr">
        <is>
          <t>C1-104</t>
        </is>
      </c>
      <c r="B149" s="5" t="inlineStr">
        <is>
          <t>C1</t>
        </is>
      </c>
      <c r="C149" s="6" t="n">
        <v>3</v>
      </c>
      <c r="D149" s="6" t="n">
        <v>2</v>
      </c>
      <c r="E149" s="7" t="n">
        <v>1380</v>
      </c>
      <c r="F149" s="5" t="inlineStr">
        <is>
          <t>Occupied</t>
        </is>
      </c>
      <c r="G149" s="8" t="n">
        <v>45936</v>
      </c>
      <c r="H149" s="8" t="n">
        <v>45936</v>
      </c>
      <c r="I149" s="5" t="inlineStr">
        <is>
          <t>New</t>
        </is>
      </c>
      <c r="J149" s="7" t="n">
        <v>2151</v>
      </c>
      <c r="K149" s="9">
        <f>IFERROR(J149/E149,"")</f>
        <v/>
      </c>
    </row>
    <row r="150">
      <c r="A150" s="5" t="inlineStr">
        <is>
          <t>C1-105</t>
        </is>
      </c>
      <c r="B150" s="5" t="inlineStr">
        <is>
          <t>C1</t>
        </is>
      </c>
      <c r="C150" s="6" t="n">
        <v>3</v>
      </c>
      <c r="D150" s="6" t="n">
        <v>2</v>
      </c>
      <c r="E150" s="7" t="n">
        <v>1380</v>
      </c>
      <c r="F150" s="5" t="inlineStr">
        <is>
          <t>Occupied</t>
        </is>
      </c>
      <c r="G150" s="8" t="n">
        <v>45968</v>
      </c>
      <c r="H150" s="8" t="n">
        <v>45968</v>
      </c>
      <c r="I150" s="5" t="inlineStr">
        <is>
          <t>New</t>
        </is>
      </c>
      <c r="J150" s="7" t="n">
        <v>2140</v>
      </c>
      <c r="K150" s="9">
        <f>IFERROR(J150/E150,"")</f>
        <v/>
      </c>
    </row>
    <row r="151">
      <c r="A151" s="5" t="inlineStr">
        <is>
          <t>C1-106</t>
        </is>
      </c>
      <c r="B151" s="5" t="inlineStr">
        <is>
          <t>C1</t>
        </is>
      </c>
      <c r="C151" s="6" t="n">
        <v>3</v>
      </c>
      <c r="D151" s="6" t="n">
        <v>2</v>
      </c>
      <c r="E151" s="7" t="n">
        <v>1380</v>
      </c>
      <c r="F151" s="5" t="inlineStr">
        <is>
          <t>Occupied</t>
        </is>
      </c>
      <c r="G151" s="8" t="n">
        <v>45999</v>
      </c>
      <c r="H151" s="8" t="n">
        <v>45999</v>
      </c>
      <c r="I151" s="5" t="inlineStr">
        <is>
          <t>New</t>
        </is>
      </c>
      <c r="J151" s="7" t="n">
        <v>2129</v>
      </c>
      <c r="K151" s="9">
        <f>IFERROR(J151/E151,"")</f>
        <v/>
      </c>
    </row>
    <row r="152">
      <c r="A152" s="5" t="inlineStr">
        <is>
          <t>C1-107</t>
        </is>
      </c>
      <c r="B152" s="5" t="inlineStr">
        <is>
          <t>C1</t>
        </is>
      </c>
      <c r="C152" s="6" t="n">
        <v>3</v>
      </c>
      <c r="D152" s="6" t="n">
        <v>2</v>
      </c>
      <c r="E152" s="7" t="n">
        <v>1380</v>
      </c>
      <c r="F152" s="5" t="inlineStr">
        <is>
          <t>Occupied</t>
        </is>
      </c>
      <c r="G152" s="8" t="n">
        <v>46060</v>
      </c>
      <c r="H152" s="8" t="n">
        <v>44384</v>
      </c>
      <c r="I152" s="5" t="inlineStr">
        <is>
          <t>Renewal</t>
        </is>
      </c>
      <c r="J152" s="7" t="n">
        <v>2127</v>
      </c>
      <c r="K152" s="9">
        <f>IFERROR(J152/E152,"")</f>
        <v/>
      </c>
    </row>
    <row r="153">
      <c r="A153" s="5" t="inlineStr">
        <is>
          <t>C1-108</t>
        </is>
      </c>
      <c r="B153" s="5" t="inlineStr">
        <is>
          <t>C1</t>
        </is>
      </c>
      <c r="C153" s="6" t="n">
        <v>3</v>
      </c>
      <c r="D153" s="6" t="n">
        <v>2</v>
      </c>
      <c r="E153" s="7" t="n">
        <v>1380</v>
      </c>
      <c r="F153" s="5" t="inlineStr">
        <is>
          <t>Occupied</t>
        </is>
      </c>
      <c r="G153" s="8" t="n">
        <v>46089</v>
      </c>
      <c r="H153" s="8" t="n">
        <v>44781</v>
      </c>
      <c r="I153" s="5" t="inlineStr">
        <is>
          <t>Renewal</t>
        </is>
      </c>
      <c r="J153" s="7" t="n">
        <v>2104</v>
      </c>
      <c r="K153" s="9">
        <f>IFERROR(J153/E153,"")</f>
        <v/>
      </c>
    </row>
    <row r="154">
      <c r="A154" s="5" t="inlineStr">
        <is>
          <t>C1-109</t>
        </is>
      </c>
      <c r="B154" s="5" t="inlineStr">
        <is>
          <t>C1</t>
        </is>
      </c>
      <c r="C154" s="6" t="n">
        <v>3</v>
      </c>
      <c r="D154" s="6" t="n">
        <v>2</v>
      </c>
      <c r="E154" s="7" t="n">
        <v>1380</v>
      </c>
      <c r="F154" s="5" t="inlineStr">
        <is>
          <t>Occupied</t>
        </is>
      </c>
      <c r="G154" s="8" t="n">
        <v>46121</v>
      </c>
      <c r="H154" s="8" t="n">
        <v>45178</v>
      </c>
      <c r="I154" s="5" t="inlineStr">
        <is>
          <t>Renewal</t>
        </is>
      </c>
      <c r="J154" s="7" t="n">
        <v>2081</v>
      </c>
      <c r="K154" s="9">
        <f>IFERROR(J154/E154,"")</f>
        <v/>
      </c>
    </row>
    <row r="155">
      <c r="A155" s="5" t="inlineStr">
        <is>
          <t>C1-110</t>
        </is>
      </c>
      <c r="B155" s="5" t="inlineStr">
        <is>
          <t>C1</t>
        </is>
      </c>
      <c r="C155" s="6" t="n">
        <v>3</v>
      </c>
      <c r="D155" s="6" t="n">
        <v>2</v>
      </c>
      <c r="E155" s="7" t="n">
        <v>1380</v>
      </c>
      <c r="F155" s="5" t="inlineStr">
        <is>
          <t>Occupied</t>
        </is>
      </c>
      <c r="G155" s="8" t="n">
        <v>46152</v>
      </c>
      <c r="H155" s="8" t="n">
        <v>44479</v>
      </c>
      <c r="I155" s="5" t="inlineStr">
        <is>
          <t>Renewal</t>
        </is>
      </c>
      <c r="J155" s="7" t="n">
        <v>2058</v>
      </c>
      <c r="K155" s="9">
        <f>IFERROR(J155/E155,"")</f>
        <v/>
      </c>
    </row>
    <row r="156">
      <c r="A156" s="5" t="inlineStr">
        <is>
          <t>C1-111</t>
        </is>
      </c>
      <c r="B156" s="5" t="inlineStr">
        <is>
          <t>C1</t>
        </is>
      </c>
      <c r="C156" s="6" t="n">
        <v>3</v>
      </c>
      <c r="D156" s="6" t="n">
        <v>2</v>
      </c>
      <c r="E156" s="7" t="n">
        <v>1380</v>
      </c>
      <c r="F156" s="5" t="inlineStr">
        <is>
          <t>Occupied</t>
        </is>
      </c>
      <c r="G156" s="8" t="n">
        <v>46033</v>
      </c>
      <c r="H156" s="8" t="n">
        <v>44876</v>
      </c>
      <c r="I156" s="5" t="inlineStr">
        <is>
          <t>Renewal</t>
        </is>
      </c>
      <c r="J156" s="7" t="n">
        <v>2126</v>
      </c>
      <c r="K156" s="9">
        <f>IFERROR(J156/E156,"")</f>
        <v/>
      </c>
    </row>
    <row r="157">
      <c r="A157" s="5" t="inlineStr">
        <is>
          <t>C1-112</t>
        </is>
      </c>
      <c r="B157" s="5" t="inlineStr">
        <is>
          <t>C1</t>
        </is>
      </c>
      <c r="C157" s="6" t="n">
        <v>3</v>
      </c>
      <c r="D157" s="6" t="n">
        <v>2</v>
      </c>
      <c r="E157" s="7" t="n">
        <v>1380</v>
      </c>
      <c r="F157" s="5" t="inlineStr">
        <is>
          <t>Occupied</t>
        </is>
      </c>
      <c r="G157" s="8" t="n">
        <v>46065</v>
      </c>
      <c r="H157" s="8" t="n">
        <v>45272</v>
      </c>
      <c r="I157" s="5" t="inlineStr">
        <is>
          <t>Renewal</t>
        </is>
      </c>
      <c r="J157" s="7" t="n">
        <v>2103</v>
      </c>
      <c r="K157" s="9">
        <f>IFERROR(J157/E157,"")</f>
        <v/>
      </c>
    </row>
    <row r="158">
      <c r="A158" s="5" t="inlineStr">
        <is>
          <t>C1-113</t>
        </is>
      </c>
      <c r="B158" s="5" t="inlineStr">
        <is>
          <t>C1</t>
        </is>
      </c>
      <c r="C158" s="6" t="n">
        <v>3</v>
      </c>
      <c r="D158" s="6" t="n">
        <v>2</v>
      </c>
      <c r="E158" s="7" t="n">
        <v>1380</v>
      </c>
      <c r="F158" s="5" t="inlineStr">
        <is>
          <t>Occupied</t>
        </is>
      </c>
      <c r="G158" s="8" t="n">
        <v>46094</v>
      </c>
      <c r="H158" s="8" t="n">
        <v>44209</v>
      </c>
      <c r="I158" s="5" t="inlineStr">
        <is>
          <t>Renewal</t>
        </is>
      </c>
      <c r="J158" s="7" t="n">
        <v>2080</v>
      </c>
      <c r="K158" s="9">
        <f>IFERROR(J158/E158,"")</f>
        <v/>
      </c>
    </row>
    <row r="159">
      <c r="A159" s="5" t="inlineStr">
        <is>
          <t>C1-114</t>
        </is>
      </c>
      <c r="B159" s="5" t="inlineStr">
        <is>
          <t>C1</t>
        </is>
      </c>
      <c r="C159" s="6" t="n">
        <v>3</v>
      </c>
      <c r="D159" s="6" t="n">
        <v>2</v>
      </c>
      <c r="E159" s="7" t="n">
        <v>1380</v>
      </c>
      <c r="F159" s="5" t="inlineStr">
        <is>
          <t>Occupied</t>
        </is>
      </c>
      <c r="G159" s="8" t="n">
        <v>46126</v>
      </c>
      <c r="H159" s="8" t="n">
        <v>44606</v>
      </c>
      <c r="I159" s="5" t="inlineStr">
        <is>
          <t>Renewal</t>
        </is>
      </c>
      <c r="J159" s="7" t="n">
        <v>2057</v>
      </c>
      <c r="K159" s="9">
        <f>IFERROR(J159/E159,"")</f>
        <v/>
      </c>
    </row>
    <row r="160">
      <c r="A160" s="5" t="inlineStr">
        <is>
          <t>C1-115</t>
        </is>
      </c>
      <c r="B160" s="5" t="inlineStr">
        <is>
          <t>C1</t>
        </is>
      </c>
      <c r="C160" s="6" t="n">
        <v>3</v>
      </c>
      <c r="D160" s="6" t="n">
        <v>2</v>
      </c>
      <c r="E160" s="7" t="n">
        <v>1380</v>
      </c>
      <c r="F160" s="5" t="inlineStr">
        <is>
          <t>Occupied</t>
        </is>
      </c>
      <c r="G160" s="8" t="n">
        <v>46157</v>
      </c>
      <c r="H160" s="8" t="n">
        <v>45000</v>
      </c>
      <c r="I160" s="5" t="inlineStr">
        <is>
          <t>Renewal</t>
        </is>
      </c>
      <c r="J160" s="7" t="n">
        <v>2125</v>
      </c>
      <c r="K160" s="9">
        <f>IFERROR(J160/E160,"")</f>
        <v/>
      </c>
    </row>
    <row r="161">
      <c r="A161" s="5" t="inlineStr">
        <is>
          <t>C1-116</t>
        </is>
      </c>
      <c r="B161" s="5" t="inlineStr">
        <is>
          <t>C1</t>
        </is>
      </c>
      <c r="C161" s="6" t="n">
        <v>3</v>
      </c>
      <c r="D161" s="6" t="n">
        <v>2</v>
      </c>
      <c r="E161" s="7" t="n">
        <v>1380</v>
      </c>
      <c r="F161" s="5" t="inlineStr">
        <is>
          <t>Occupied</t>
        </is>
      </c>
      <c r="G161" s="8" t="n">
        <v>46038</v>
      </c>
      <c r="H161" s="8" t="n">
        <v>44302</v>
      </c>
      <c r="I161" s="5" t="inlineStr">
        <is>
          <t>Renewal</t>
        </is>
      </c>
      <c r="J161" s="7" t="n">
        <v>2102</v>
      </c>
      <c r="K161" s="9">
        <f>IFERROR(J161/E161,"")</f>
        <v/>
      </c>
    </row>
    <row r="162">
      <c r="A162" s="5" t="inlineStr">
        <is>
          <t>C1-117</t>
        </is>
      </c>
      <c r="B162" s="5" t="inlineStr">
        <is>
          <t>C1</t>
        </is>
      </c>
      <c r="C162" s="6" t="n">
        <v>3</v>
      </c>
      <c r="D162" s="6" t="n">
        <v>2</v>
      </c>
      <c r="E162" s="7" t="n">
        <v>1380</v>
      </c>
      <c r="F162" s="5" t="inlineStr">
        <is>
          <t>Occupied</t>
        </is>
      </c>
      <c r="G162" s="8" t="n">
        <v>46070</v>
      </c>
      <c r="H162" s="8" t="n">
        <v>44698</v>
      </c>
      <c r="I162" s="5" t="inlineStr">
        <is>
          <t>Renewal</t>
        </is>
      </c>
      <c r="J162" s="7" t="n">
        <v>2079</v>
      </c>
      <c r="K162" s="9">
        <f>IFERROR(J162/E162,"")</f>
        <v/>
      </c>
    </row>
    <row r="163">
      <c r="A163" s="5" t="inlineStr">
        <is>
          <t>C1-118</t>
        </is>
      </c>
      <c r="B163" s="5" t="inlineStr">
        <is>
          <t>C1</t>
        </is>
      </c>
      <c r="C163" s="6" t="n">
        <v>3</v>
      </c>
      <c r="D163" s="6" t="n">
        <v>2</v>
      </c>
      <c r="E163" s="7" t="n">
        <v>1380</v>
      </c>
      <c r="F163" s="5" t="inlineStr">
        <is>
          <t>Occupied</t>
        </is>
      </c>
      <c r="G163" s="8" t="n">
        <v>46099</v>
      </c>
      <c r="H163" s="8" t="n">
        <v>45095</v>
      </c>
      <c r="I163" s="5" t="inlineStr">
        <is>
          <t>Renewal</t>
        </is>
      </c>
      <c r="J163" s="7" t="n">
        <v>2056</v>
      </c>
      <c r="K163" s="9">
        <f>IFERROR(J163/E163,"")</f>
        <v/>
      </c>
    </row>
    <row r="164">
      <c r="A164" s="5" t="inlineStr">
        <is>
          <t>C1-119</t>
        </is>
      </c>
      <c r="B164" s="5" t="inlineStr">
        <is>
          <t>C1</t>
        </is>
      </c>
      <c r="C164" s="6" t="n">
        <v>3</v>
      </c>
      <c r="D164" s="6" t="n">
        <v>2</v>
      </c>
      <c r="E164" s="7" t="n">
        <v>1380</v>
      </c>
      <c r="F164" s="5" t="inlineStr">
        <is>
          <t>Occupied</t>
        </is>
      </c>
      <c r="G164" s="8" t="n">
        <v>46131</v>
      </c>
      <c r="H164" s="8" t="n">
        <v>44396</v>
      </c>
      <c r="I164" s="5" t="inlineStr">
        <is>
          <t>Renewal</t>
        </is>
      </c>
      <c r="J164" s="7" t="n">
        <v>2124</v>
      </c>
      <c r="K164" s="9">
        <f>IFERROR(J164/E164,"")</f>
        <v/>
      </c>
    </row>
    <row r="165">
      <c r="A165" s="5" t="inlineStr">
        <is>
          <t>C1-120</t>
        </is>
      </c>
      <c r="B165" s="5" t="inlineStr">
        <is>
          <t>C1</t>
        </is>
      </c>
      <c r="C165" s="6" t="n">
        <v>3</v>
      </c>
      <c r="D165" s="6" t="n">
        <v>2</v>
      </c>
      <c r="E165" s="7" t="n">
        <v>1380</v>
      </c>
      <c r="F165" s="5" t="inlineStr">
        <is>
          <t>Occupied</t>
        </is>
      </c>
      <c r="G165" s="8" t="n">
        <v>46162</v>
      </c>
      <c r="H165" s="8" t="n">
        <v>44793</v>
      </c>
      <c r="I165" s="5" t="inlineStr">
        <is>
          <t>Renewal</t>
        </is>
      </c>
      <c r="J165" s="7" t="n">
        <v>2101</v>
      </c>
      <c r="K165" s="9">
        <f>IFERROR(J165/E165,"")</f>
        <v/>
      </c>
    </row>
    <row r="166">
      <c r="A166" s="5" t="inlineStr">
        <is>
          <t>C1-121</t>
        </is>
      </c>
      <c r="B166" s="5" t="inlineStr">
        <is>
          <t>C1</t>
        </is>
      </c>
      <c r="C166" s="6" t="n">
        <v>3</v>
      </c>
      <c r="D166" s="6" t="n">
        <v>2</v>
      </c>
      <c r="E166" s="7" t="n">
        <v>1380</v>
      </c>
      <c r="F166" s="5" t="inlineStr">
        <is>
          <t>Occupied</t>
        </is>
      </c>
      <c r="G166" s="8" t="n">
        <v>46043</v>
      </c>
      <c r="H166" s="8" t="n">
        <v>45190</v>
      </c>
      <c r="I166" s="5" t="inlineStr">
        <is>
          <t>Renewal</t>
        </is>
      </c>
      <c r="J166" s="7" t="n">
        <v>2078</v>
      </c>
      <c r="K166" s="9">
        <f>IFERROR(J166/E166,"")</f>
        <v/>
      </c>
    </row>
    <row r="167">
      <c r="A167" s="5" t="inlineStr">
        <is>
          <t>C1-122</t>
        </is>
      </c>
      <c r="B167" s="5" t="inlineStr">
        <is>
          <t>C1</t>
        </is>
      </c>
      <c r="C167" s="6" t="n">
        <v>3</v>
      </c>
      <c r="D167" s="6" t="n">
        <v>2</v>
      </c>
      <c r="E167" s="7" t="n">
        <v>1380</v>
      </c>
      <c r="F167" s="5" t="inlineStr">
        <is>
          <t>Occupied</t>
        </is>
      </c>
      <c r="G167" s="8" t="n">
        <v>46075</v>
      </c>
      <c r="H167" s="8" t="n">
        <v>44491</v>
      </c>
      <c r="I167" s="5" t="inlineStr">
        <is>
          <t>Renewal</t>
        </is>
      </c>
      <c r="J167" s="7" t="n">
        <v>2055</v>
      </c>
      <c r="K167" s="9">
        <f>IFERROR(J167/E167,"")</f>
        <v/>
      </c>
    </row>
    <row r="168">
      <c r="A168" s="5" t="inlineStr">
        <is>
          <t>C1-123</t>
        </is>
      </c>
      <c r="B168" s="5" t="inlineStr">
        <is>
          <t>C1</t>
        </is>
      </c>
      <c r="C168" s="6" t="n">
        <v>3</v>
      </c>
      <c r="D168" s="6" t="n">
        <v>2</v>
      </c>
      <c r="E168" s="7" t="n">
        <v>1380</v>
      </c>
      <c r="F168" s="5" t="inlineStr">
        <is>
          <t>Occupied</t>
        </is>
      </c>
      <c r="G168" s="8" t="n">
        <v>46104</v>
      </c>
      <c r="H168" s="8" t="n">
        <v>44888</v>
      </c>
      <c r="I168" s="5" t="inlineStr">
        <is>
          <t>Renewal</t>
        </is>
      </c>
      <c r="J168" s="7" t="n">
        <v>2123</v>
      </c>
      <c r="K168" s="9">
        <f>IFERROR(J168/E168,"")</f>
        <v/>
      </c>
    </row>
    <row r="169">
      <c r="A169" s="5" t="inlineStr">
        <is>
          <t>C1-124</t>
        </is>
      </c>
      <c r="B169" s="5" t="inlineStr">
        <is>
          <t>C1</t>
        </is>
      </c>
      <c r="C169" s="6" t="n">
        <v>3</v>
      </c>
      <c r="D169" s="6" t="n">
        <v>2</v>
      </c>
      <c r="E169" s="7" t="n">
        <v>1380</v>
      </c>
      <c r="F169" s="5" t="inlineStr">
        <is>
          <t>Occupied</t>
        </is>
      </c>
      <c r="G169" s="8" t="n">
        <v>46136</v>
      </c>
      <c r="H169" s="8" t="n">
        <v>45284</v>
      </c>
      <c r="I169" s="5" t="inlineStr">
        <is>
          <t>Renewal</t>
        </is>
      </c>
      <c r="J169" s="7" t="n">
        <v>2100</v>
      </c>
      <c r="K169" s="9">
        <f>IFERROR(J169/E169,"")</f>
        <v/>
      </c>
    </row>
    <row r="170">
      <c r="A170" s="5" t="inlineStr">
        <is>
          <t>C1-125</t>
        </is>
      </c>
      <c r="B170" s="5" t="inlineStr">
        <is>
          <t>C1</t>
        </is>
      </c>
      <c r="C170" s="6" t="n">
        <v>3</v>
      </c>
      <c r="D170" s="6" t="n">
        <v>2</v>
      </c>
      <c r="E170" s="7" t="n">
        <v>1380</v>
      </c>
      <c r="F170" s="5" t="inlineStr">
        <is>
          <t>Occupied</t>
        </is>
      </c>
      <c r="G170" s="8" t="n">
        <v>46167</v>
      </c>
      <c r="H170" s="8" t="n">
        <v>44221</v>
      </c>
      <c r="I170" s="5" t="inlineStr">
        <is>
          <t>Renewal</t>
        </is>
      </c>
      <c r="J170" s="7" t="n">
        <v>2077</v>
      </c>
      <c r="K170" s="9">
        <f>IFERROR(J170/E170,"")</f>
        <v/>
      </c>
    </row>
    <row r="171">
      <c r="A171" s="5" t="inlineStr">
        <is>
          <t>C1-126</t>
        </is>
      </c>
      <c r="B171" s="5" t="inlineStr">
        <is>
          <t>C1</t>
        </is>
      </c>
      <c r="C171" s="6" t="n">
        <v>3</v>
      </c>
      <c r="D171" s="6" t="n">
        <v>2</v>
      </c>
      <c r="E171" s="7" t="n">
        <v>1380</v>
      </c>
      <c r="F171" s="5" t="inlineStr">
        <is>
          <t>Occupied</t>
        </is>
      </c>
      <c r="G171" s="8" t="n">
        <v>46048</v>
      </c>
      <c r="H171" s="8" t="n">
        <v>44618</v>
      </c>
      <c r="I171" s="5" t="inlineStr">
        <is>
          <t>Renewal</t>
        </is>
      </c>
      <c r="J171" s="7" t="n">
        <v>2054</v>
      </c>
      <c r="K171" s="9">
        <f>IFERROR(J171/E171,"")</f>
        <v/>
      </c>
    </row>
    <row r="172">
      <c r="A172" s="5" t="inlineStr">
        <is>
          <t>Cypress-101</t>
        </is>
      </c>
      <c r="B172" s="5" t="inlineStr">
        <is>
          <t>Cypress TH</t>
        </is>
      </c>
      <c r="C172" s="6" t="n">
        <v>3</v>
      </c>
      <c r="D172" s="6" t="n">
        <v>2.5</v>
      </c>
      <c r="E172" s="7" t="n">
        <v>1620</v>
      </c>
      <c r="F172" s="5" t="inlineStr">
        <is>
          <t>Occupied</t>
        </is>
      </c>
      <c r="G172" s="8" t="n">
        <v>45611</v>
      </c>
      <c r="H172" s="8" t="n">
        <v>44348</v>
      </c>
      <c r="I172" s="5" t="inlineStr">
        <is>
          <t>Renewal</t>
        </is>
      </c>
      <c r="J172" s="7" t="n">
        <v>2367</v>
      </c>
      <c r="K172" s="9">
        <f>IFERROR(J172/E172,"")</f>
        <v/>
      </c>
    </row>
    <row r="173">
      <c r="A173" s="5" t="inlineStr">
        <is>
          <t>Cypress-102</t>
        </is>
      </c>
      <c r="B173" s="5" t="inlineStr">
        <is>
          <t>Cypress TH</t>
        </is>
      </c>
      <c r="C173" s="6" t="n">
        <v>3</v>
      </c>
      <c r="D173" s="6" t="n">
        <v>2.5</v>
      </c>
      <c r="E173" s="7" t="n">
        <v>1620</v>
      </c>
      <c r="F173" s="5" t="inlineStr">
        <is>
          <t>Occupied</t>
        </is>
      </c>
      <c r="G173" s="8" t="n">
        <v>45611</v>
      </c>
      <c r="H173" s="8" t="n">
        <v>44348</v>
      </c>
      <c r="I173" s="5" t="inlineStr">
        <is>
          <t>Renewal</t>
        </is>
      </c>
      <c r="J173" s="7" t="n">
        <v>2344</v>
      </c>
      <c r="K173" s="9">
        <f>IFERROR(J173/E173,"")</f>
        <v/>
      </c>
    </row>
    <row r="174">
      <c r="A174" s="5" t="inlineStr">
        <is>
          <t>Cypress-103</t>
        </is>
      </c>
      <c r="B174" s="5" t="inlineStr">
        <is>
          <t>Cypress TH</t>
        </is>
      </c>
      <c r="C174" s="6" t="n">
        <v>3</v>
      </c>
      <c r="D174" s="6" t="n">
        <v>2.5</v>
      </c>
      <c r="E174" s="7" t="n">
        <v>1620</v>
      </c>
      <c r="F174" s="5" t="inlineStr">
        <is>
          <t>Occupied</t>
        </is>
      </c>
      <c r="G174" s="8" t="n">
        <v>45611</v>
      </c>
      <c r="H174" s="8" t="n">
        <v>44348</v>
      </c>
      <c r="I174" s="5" t="inlineStr">
        <is>
          <t>Renewal</t>
        </is>
      </c>
      <c r="J174" s="7" t="n">
        <v>2321</v>
      </c>
      <c r="K174" s="9">
        <f>IFERROR(J174/E174,"")</f>
        <v/>
      </c>
    </row>
    <row r="175">
      <c r="A175" s="5" t="inlineStr">
        <is>
          <t>Cypress-104</t>
        </is>
      </c>
      <c r="B175" s="5" t="inlineStr">
        <is>
          <t>Cypress TH</t>
        </is>
      </c>
      <c r="C175" s="6" t="n">
        <v>3</v>
      </c>
      <c r="D175" s="6" t="n">
        <v>2.5</v>
      </c>
      <c r="E175" s="7" t="n">
        <v>1620</v>
      </c>
      <c r="F175" s="5" t="inlineStr">
        <is>
          <t>Occupied</t>
        </is>
      </c>
      <c r="G175" s="8" t="n">
        <v>45611</v>
      </c>
      <c r="H175" s="8" t="n">
        <v>44348</v>
      </c>
      <c r="I175" s="5" t="inlineStr">
        <is>
          <t>Renewal</t>
        </is>
      </c>
      <c r="J175" s="7" t="n">
        <v>2298</v>
      </c>
      <c r="K175" s="9">
        <f>IFERROR(J175/E175,"")</f>
        <v/>
      </c>
    </row>
    <row r="176">
      <c r="A176" s="5" t="inlineStr">
        <is>
          <t>Cypress-105</t>
        </is>
      </c>
      <c r="B176" s="5" t="inlineStr">
        <is>
          <t>Cypress TH</t>
        </is>
      </c>
      <c r="C176" s="6" t="n">
        <v>3</v>
      </c>
      <c r="D176" s="6" t="n">
        <v>2.5</v>
      </c>
      <c r="E176" s="7" t="n">
        <v>1620</v>
      </c>
      <c r="F176" s="5" t="inlineStr">
        <is>
          <t>Occupied</t>
        </is>
      </c>
      <c r="G176" s="8" t="n">
        <v>45611</v>
      </c>
      <c r="H176" s="8" t="n">
        <v>44348</v>
      </c>
      <c r="I176" s="5" t="inlineStr">
        <is>
          <t>Renewal</t>
        </is>
      </c>
      <c r="J176" s="7" t="n">
        <v>2366</v>
      </c>
      <c r="K176" s="9">
        <f>IFERROR(J176/E176,"")</f>
        <v/>
      </c>
    </row>
    <row r="177">
      <c r="A177" s="5" t="inlineStr">
        <is>
          <t>Cypress-106</t>
        </is>
      </c>
      <c r="B177" s="5" t="inlineStr">
        <is>
          <t>Cypress TH</t>
        </is>
      </c>
      <c r="C177" s="6" t="n">
        <v>3</v>
      </c>
      <c r="D177" s="6" t="n">
        <v>2.5</v>
      </c>
      <c r="E177" s="7" t="n">
        <v>1620</v>
      </c>
      <c r="F177" s="5" t="inlineStr">
        <is>
          <t>Occupied</t>
        </is>
      </c>
      <c r="G177" s="8" t="n">
        <v>45611</v>
      </c>
      <c r="H177" s="8" t="n">
        <v>44348</v>
      </c>
      <c r="I177" s="5" t="inlineStr">
        <is>
          <t>Renewal</t>
        </is>
      </c>
      <c r="J177" s="7" t="n">
        <v>2343</v>
      </c>
      <c r="K177" s="9">
        <f>IFERROR(J177/E177,"")</f>
        <v/>
      </c>
    </row>
    <row r="178">
      <c r="A178" s="5" t="inlineStr">
        <is>
          <t>Cypress-107</t>
        </is>
      </c>
      <c r="B178" s="5" t="inlineStr">
        <is>
          <t>Cypress TH</t>
        </is>
      </c>
      <c r="C178" s="6" t="n">
        <v>3</v>
      </c>
      <c r="D178" s="6" t="n">
        <v>2.5</v>
      </c>
      <c r="E178" s="7" t="n">
        <v>1620</v>
      </c>
      <c r="F178" s="5" t="inlineStr">
        <is>
          <t>Occupied</t>
        </is>
      </c>
      <c r="G178" s="8" t="n">
        <v>45611</v>
      </c>
      <c r="H178" s="8" t="n">
        <v>44348</v>
      </c>
      <c r="I178" s="5" t="inlineStr">
        <is>
          <t>Renewal</t>
        </is>
      </c>
      <c r="J178" s="7" t="n">
        <v>2320</v>
      </c>
      <c r="K178" s="9">
        <f>IFERROR(J178/E178,"")</f>
        <v/>
      </c>
    </row>
    <row r="179">
      <c r="A179" s="5" t="inlineStr">
        <is>
          <t>Cypress-108</t>
        </is>
      </c>
      <c r="B179" s="5" t="inlineStr">
        <is>
          <t>Cypress TH</t>
        </is>
      </c>
      <c r="C179" s="6" t="n">
        <v>3</v>
      </c>
      <c r="D179" s="6" t="n">
        <v>2.5</v>
      </c>
      <c r="E179" s="7" t="n">
        <v>1620</v>
      </c>
      <c r="F179" s="5" t="inlineStr">
        <is>
          <t>Occupied</t>
        </is>
      </c>
      <c r="G179" s="8" t="n">
        <v>45611</v>
      </c>
      <c r="H179" s="8" t="n">
        <v>44348</v>
      </c>
      <c r="I179" s="5" t="inlineStr">
        <is>
          <t>Renewal</t>
        </is>
      </c>
      <c r="J179" s="7" t="n">
        <v>2297</v>
      </c>
      <c r="K179" s="9">
        <f>IFERROR(J179/E179,"")</f>
        <v/>
      </c>
    </row>
    <row r="180">
      <c r="A180" s="5" t="inlineStr">
        <is>
          <t>Cypress-109</t>
        </is>
      </c>
      <c r="B180" s="5" t="inlineStr">
        <is>
          <t>Cypress TH</t>
        </is>
      </c>
      <c r="C180" s="6" t="n">
        <v>3</v>
      </c>
      <c r="D180" s="6" t="n">
        <v>2.5</v>
      </c>
      <c r="E180" s="7" t="n">
        <v>1620</v>
      </c>
      <c r="F180" s="5" t="inlineStr">
        <is>
          <t>Occupied</t>
        </is>
      </c>
      <c r="G180" s="8" t="n">
        <v>45611</v>
      </c>
      <c r="H180" s="8" t="n">
        <v>44348</v>
      </c>
      <c r="I180" s="5" t="inlineStr">
        <is>
          <t>Renewal</t>
        </is>
      </c>
      <c r="J180" s="7" t="n">
        <v>2365</v>
      </c>
      <c r="K180" s="9">
        <f>IFERROR(J180/E180,"")</f>
        <v/>
      </c>
    </row>
    <row r="181">
      <c r="A181" s="5" t="inlineStr">
        <is>
          <t>Cypress-110</t>
        </is>
      </c>
      <c r="B181" s="5" t="inlineStr">
        <is>
          <t>Cypress TH</t>
        </is>
      </c>
      <c r="C181" s="6" t="n">
        <v>3</v>
      </c>
      <c r="D181" s="6" t="n">
        <v>2.5</v>
      </c>
      <c r="E181" s="7" t="n">
        <v>1620</v>
      </c>
      <c r="F181" s="5" t="inlineStr">
        <is>
          <t>Occupied</t>
        </is>
      </c>
      <c r="G181" s="8" t="n">
        <v>45611</v>
      </c>
      <c r="H181" s="8" t="n">
        <v>44348</v>
      </c>
      <c r="I181" s="5" t="inlineStr">
        <is>
          <t>Renewal</t>
        </is>
      </c>
      <c r="J181" s="7" t="n">
        <v>2342</v>
      </c>
      <c r="K181" s="9">
        <f>IFERROR(J181/E181,"")</f>
        <v/>
      </c>
    </row>
    <row r="182">
      <c r="A182" s="5" t="inlineStr">
        <is>
          <t>Cypress-111</t>
        </is>
      </c>
      <c r="B182" s="5" t="inlineStr">
        <is>
          <t>Cypress TH</t>
        </is>
      </c>
      <c r="C182" s="6" t="n">
        <v>3</v>
      </c>
      <c r="D182" s="6" t="n">
        <v>2.5</v>
      </c>
      <c r="E182" s="7" t="n">
        <v>1620</v>
      </c>
      <c r="F182" s="5" t="inlineStr">
        <is>
          <t>Occupied</t>
        </is>
      </c>
      <c r="G182" s="8" t="n">
        <v>45611</v>
      </c>
      <c r="H182" s="8" t="n">
        <v>44348</v>
      </c>
      <c r="I182" s="5" t="inlineStr">
        <is>
          <t>Renewal</t>
        </is>
      </c>
      <c r="J182" s="7" t="n">
        <v>2319</v>
      </c>
      <c r="K182" s="9">
        <f>IFERROR(J182/E182,"")</f>
        <v/>
      </c>
    </row>
    <row r="183">
      <c r="A183" s="5" t="inlineStr">
        <is>
          <t>Cypress-112</t>
        </is>
      </c>
      <c r="B183" s="5" t="inlineStr">
        <is>
          <t>Cypress TH</t>
        </is>
      </c>
      <c r="C183" s="6" t="n">
        <v>3</v>
      </c>
      <c r="D183" s="6" t="n">
        <v>2.5</v>
      </c>
      <c r="E183" s="7" t="n">
        <v>1620</v>
      </c>
      <c r="F183" s="5" t="inlineStr">
        <is>
          <t>Occupied</t>
        </is>
      </c>
      <c r="G183" s="8" t="n">
        <v>45611</v>
      </c>
      <c r="H183" s="8" t="n">
        <v>44348</v>
      </c>
      <c r="I183" s="5" t="inlineStr">
        <is>
          <t>Renewal</t>
        </is>
      </c>
      <c r="J183" s="7" t="n">
        <v>2296</v>
      </c>
      <c r="K183" s="9">
        <f>IFERROR(J183/E183,"")</f>
        <v/>
      </c>
    </row>
    <row r="184">
      <c r="A184" s="5" t="inlineStr">
        <is>
          <t>Cypress-113</t>
        </is>
      </c>
      <c r="B184" s="5" t="inlineStr">
        <is>
          <t>Cypress TH</t>
        </is>
      </c>
      <c r="C184" s="6" t="n">
        <v>3</v>
      </c>
      <c r="D184" s="6" t="n">
        <v>2.5</v>
      </c>
      <c r="E184" s="7" t="n">
        <v>1620</v>
      </c>
      <c r="F184" s="5" t="inlineStr">
        <is>
          <t>Occupied</t>
        </is>
      </c>
      <c r="G184" s="8" t="n">
        <v>45611</v>
      </c>
      <c r="H184" s="8" t="n">
        <v>44348</v>
      </c>
      <c r="I184" s="5" t="inlineStr">
        <is>
          <t>Renewal</t>
        </is>
      </c>
      <c r="J184" s="7" t="n">
        <v>2364</v>
      </c>
      <c r="K184" s="9">
        <f>IFERROR(J184/E184,"")</f>
        <v/>
      </c>
    </row>
    <row r="185">
      <c r="A185" s="5" t="inlineStr">
        <is>
          <t>Cypress-114</t>
        </is>
      </c>
      <c r="B185" s="5" t="inlineStr">
        <is>
          <t>Cypress TH</t>
        </is>
      </c>
      <c r="C185" s="6" t="n">
        <v>3</v>
      </c>
      <c r="D185" s="6" t="n">
        <v>2.5</v>
      </c>
      <c r="E185" s="7" t="n">
        <v>1620</v>
      </c>
      <c r="F185" s="5" t="inlineStr">
        <is>
          <t>Occupied</t>
        </is>
      </c>
      <c r="G185" s="8" t="n">
        <v>45611</v>
      </c>
      <c r="H185" s="8" t="n">
        <v>44348</v>
      </c>
      <c r="I185" s="5" t="inlineStr">
        <is>
          <t>Renewal</t>
        </is>
      </c>
      <c r="J185" s="7" t="n">
        <v>2341</v>
      </c>
      <c r="K185" s="9">
        <f>IFERROR(J185/E185,"")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1" customWidth="1" min="4" max="4"/>
    <col width="14" customWidth="1" min="5" max="5"/>
    <col width="15" customWidth="1" min="6" max="6"/>
    <col width="8" customWidth="1" min="7" max="7"/>
    <col width="21" customWidth="1" min="8" max="8"/>
    <col width="34" customWidth="1" min="9" max="9"/>
  </cols>
  <sheetData>
    <row r="1">
      <c r="A1" s="1" t="inlineStr">
        <is>
          <t>Unit mix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Months lookback</t>
        </is>
      </c>
      <c r="B5" s="12" t="n">
        <v>12</v>
      </c>
      <c r="D5" s="11" t="inlineStr">
        <is>
          <t>As-of date</t>
        </is>
      </c>
      <c r="E5" s="13" t="n">
        <v>46203</v>
      </c>
      <c r="G5" s="11" t="inlineStr">
        <is>
          <t>New-tenant tol (days)</t>
        </is>
      </c>
      <c r="H5" s="12" t="n">
        <v>31</v>
      </c>
    </row>
    <row r="6">
      <c r="A6" s="2" t="inlineStr">
        <is>
          <t>Every window below is measured from the as-of date, never from today — a summary that silently re-windows when reopened next quarter is worse than none.</t>
        </is>
      </c>
    </row>
    <row r="8">
      <c r="A8" s="4" t="inlineStr">
        <is>
          <t>Bedroom</t>
        </is>
      </c>
      <c r="B8" s="4" t="inlineStr">
        <is>
          <t>Floor plan</t>
        </is>
      </c>
      <c r="C8" s="4" t="inlineStr">
        <is>
          <t>Avg SF</t>
        </is>
      </c>
      <c r="D8" s="4" t="inlineStr">
        <is>
          <t>Unit count</t>
        </is>
      </c>
      <c r="E8" s="4" t="inlineStr">
        <is>
          <t>In-place rent</t>
        </is>
      </c>
      <c r="F8" s="4" t="inlineStr">
        <is>
          <t>NEW LEASE rent</t>
        </is>
      </c>
      <c r="G8" s="4" t="inlineStr">
        <is>
          <t>New #</t>
        </is>
      </c>
      <c r="H8" s="4" t="inlineStr">
        <is>
          <t>Market rent for model</t>
        </is>
      </c>
      <c r="I8" s="4" t="inlineStr">
        <is>
          <t>Basis</t>
        </is>
      </c>
    </row>
    <row r="9">
      <c r="A9" s="6" t="n">
        <v>1</v>
      </c>
      <c r="B9" s="5" t="inlineStr">
        <is>
          <t>A1</t>
        </is>
      </c>
      <c r="C9" s="7">
        <f>IFERROR(AVERAGEIF('Rent Roll'!$B$6:$B$185,$B9,'Rent Roll'!$E$6:$E$185),"")</f>
        <v/>
      </c>
      <c r="D9" s="7">
        <f>COUNTIF('Rent Roll'!$B$6:$B$185,$B9)</f>
        <v/>
      </c>
      <c r="E9" s="7">
        <f>IFERROR(AVERAGEIFS('Rent Roll'!$J$6:$J$185,'Rent Roll'!$B$6:$B$185,$B9,'Rent Roll'!$F$6:$F$185,"Occupied"),"")</f>
        <v/>
      </c>
      <c r="F9" s="7" t="n">
        <v>1510.818181818182</v>
      </c>
      <c r="G9" s="7" t="n">
        <v>11</v>
      </c>
      <c r="H9" s="7" t="n">
        <v>1510.818181818182</v>
      </c>
      <c r="I9" s="5" t="inlineStr">
        <is>
          <t>New leases (n=11)</t>
        </is>
      </c>
    </row>
    <row r="10">
      <c r="A10" s="6" t="n">
        <v>1</v>
      </c>
      <c r="B10" s="5" t="inlineStr">
        <is>
          <t>A2</t>
        </is>
      </c>
      <c r="C10" s="7">
        <f>IFERROR(AVERAGEIF('Rent Roll'!$B$6:$B$185,$B10,'Rent Roll'!$E$6:$E$185),"")</f>
        <v/>
      </c>
      <c r="D10" s="7">
        <f>COUNTIF('Rent Roll'!$B$6:$B$185,$B10)</f>
        <v/>
      </c>
      <c r="E10" s="7">
        <f>IFERROR(AVERAGEIFS('Rent Roll'!$J$6:$J$185,'Rent Roll'!$B$6:$B$185,$B10,'Rent Roll'!$F$6:$F$185,"Occupied"),"")</f>
        <v/>
      </c>
      <c r="F10" s="7" t="n">
        <v>1583.285714285714</v>
      </c>
      <c r="G10" s="7" t="n">
        <v>7</v>
      </c>
      <c r="H10" s="7" t="n">
        <v>1583.285714285714</v>
      </c>
      <c r="I10" s="5" t="inlineStr">
        <is>
          <t>New leases (n=7)</t>
        </is>
      </c>
    </row>
    <row r="11">
      <c r="A11" s="6" t="n">
        <v>2</v>
      </c>
      <c r="B11" s="5" t="inlineStr">
        <is>
          <t>B1</t>
        </is>
      </c>
      <c r="C11" s="7">
        <f>IFERROR(AVERAGEIF('Rent Roll'!$B$6:$B$185,$B11,'Rent Roll'!$E$6:$E$185),"")</f>
        <v/>
      </c>
      <c r="D11" s="7">
        <f>COUNTIF('Rent Roll'!$B$6:$B$185,$B11)</f>
        <v/>
      </c>
      <c r="E11" s="7">
        <f>IFERROR(AVERAGEIFS('Rent Roll'!$J$6:$J$185,'Rent Roll'!$B$6:$B$185,$B11,'Rent Roll'!$F$6:$F$185,"Occupied"),"")</f>
        <v/>
      </c>
      <c r="F11" s="7" t="n">
        <v>1831.909090909091</v>
      </c>
      <c r="G11" s="7" t="n">
        <v>11</v>
      </c>
      <c r="H11" s="7" t="n">
        <v>1831.909090909091</v>
      </c>
      <c r="I11" s="5" t="inlineStr">
        <is>
          <t>New leases (n=11)</t>
        </is>
      </c>
    </row>
    <row r="12">
      <c r="A12" s="6" t="n">
        <v>2</v>
      </c>
      <c r="B12" s="5" t="inlineStr">
        <is>
          <t>B2</t>
        </is>
      </c>
      <c r="C12" s="7">
        <f>IFERROR(AVERAGEIF('Rent Roll'!$B$6:$B$185,$B12,'Rent Roll'!$E$6:$E$185),"")</f>
        <v/>
      </c>
      <c r="D12" s="7">
        <f>COUNTIF('Rent Roll'!$B$6:$B$185,$B12)</f>
        <v/>
      </c>
      <c r="E12" s="7">
        <f>IFERROR(AVERAGEIFS('Rent Roll'!$J$6:$J$185,'Rent Roll'!$B$6:$B$185,$B12,'Rent Roll'!$F$6:$F$185,"Occupied"),"")</f>
        <v/>
      </c>
      <c r="F12" s="7" t="n">
        <v>1913</v>
      </c>
      <c r="G12" s="7" t="n">
        <v>9</v>
      </c>
      <c r="H12" s="7" t="n">
        <v>1913</v>
      </c>
      <c r="I12" s="5" t="inlineStr">
        <is>
          <t>New leases (n=9)</t>
        </is>
      </c>
    </row>
    <row r="13">
      <c r="A13" s="6" t="n">
        <v>3</v>
      </c>
      <c r="B13" s="5" t="inlineStr">
        <is>
          <t>C1</t>
        </is>
      </c>
      <c r="C13" s="7">
        <f>IFERROR(AVERAGEIF('Rent Roll'!$B$6:$B$185,$B13,'Rent Roll'!$E$6:$E$185),"")</f>
        <v/>
      </c>
      <c r="D13" s="7">
        <f>COUNTIF('Rent Roll'!$B$6:$B$185,$B13)</f>
        <v/>
      </c>
      <c r="E13" s="7">
        <f>IFERROR(AVERAGEIFS('Rent Roll'!$J$6:$J$185,'Rent Roll'!$B$6:$B$185,$B13,'Rent Roll'!$F$6:$F$185,"Occupied"),"")</f>
        <v/>
      </c>
      <c r="F13" s="7" t="n">
        <v>2156.5</v>
      </c>
      <c r="G13" s="7" t="n">
        <v>6</v>
      </c>
      <c r="H13" s="7" t="n">
        <v>2156.5</v>
      </c>
      <c r="I13" s="5" t="inlineStr">
        <is>
          <t>New leases (n=6)</t>
        </is>
      </c>
    </row>
    <row r="14">
      <c r="A14" s="6" t="n">
        <v>3</v>
      </c>
      <c r="B14" s="5" t="inlineStr">
        <is>
          <t>Cypress TH</t>
        </is>
      </c>
      <c r="C14" s="7">
        <f>IFERROR(AVERAGEIF('Rent Roll'!$B$6:$B$185,$B14,'Rent Roll'!$E$6:$E$185),"")</f>
        <v/>
      </c>
      <c r="D14" s="7">
        <f>COUNTIF('Rent Roll'!$B$6:$B$185,$B14)</f>
        <v/>
      </c>
      <c r="E14" s="7">
        <f>IFERROR(AVERAGEIFS('Rent Roll'!$J$6:$J$185,'Rent Roll'!$B$6:$B$185,$B14,'Rent Roll'!$F$6:$F$185,"Occupied"),"")</f>
        <v/>
      </c>
      <c r="F14" s="10" t="n"/>
      <c r="G14" s="7" t="n">
        <v>0</v>
      </c>
      <c r="H14" s="7" t="n">
        <v>2334.5</v>
      </c>
      <c r="I14" s="5" t="inlineStr">
        <is>
          <t>In-place — no new leases in window</t>
        </is>
      </c>
    </row>
    <row r="16">
      <c r="A16" s="14" t="n"/>
      <c r="B16" s="15" t="inlineStr">
        <is>
          <t>TOTAL</t>
        </is>
      </c>
      <c r="C16" s="16">
        <f>IFERROR(SUMPRODUCT($D$9:$D$14,$C$9:$C$14)/SUM($D$9:$D$14),"")</f>
        <v/>
      </c>
      <c r="D16" s="16">
        <f>SUM(D9:D14)</f>
        <v/>
      </c>
      <c r="E16" s="16">
        <f>IFERROR(AVERAGEIFS('Rent Roll'!$J$6:$J$185,'Rent Roll'!$F$6:$F$185,"Occupied"),"")</f>
        <v/>
      </c>
      <c r="F16" s="14" t="n"/>
      <c r="G16" s="16">
        <f>SUM(G9:G14)</f>
        <v/>
      </c>
      <c r="H16" s="16">
        <f>IFERROR(SUMPRODUCT($D$9:$D$14,$H$9:$H$14)/SUM($D$9:$D$14),"")</f>
        <v/>
      </c>
      <c r="I16" s="15" t="inlineStr">
        <is>
          <t>Weighted by unit count.</t>
        </is>
      </c>
    </row>
    <row r="18">
      <c r="A18" s="17" t="inlineStr">
        <is>
          <t>Occupancy &amp; vacancy</t>
        </is>
      </c>
      <c r="B18" s="17" t="n"/>
      <c r="C18" s="17" t="n"/>
    </row>
    <row r="19">
      <c r="A19" s="5" t="inlineStr">
        <is>
          <t>Total units</t>
        </is>
      </c>
      <c r="B19" s="7">
        <f>D16</f>
        <v/>
      </c>
    </row>
    <row r="20">
      <c r="A20" s="5" t="inlineStr">
        <is>
          <t>Occupied units</t>
        </is>
      </c>
      <c r="B20" s="7" t="n">
        <v>177</v>
      </c>
    </row>
    <row r="21">
      <c r="A21" s="5" t="inlineStr">
        <is>
          <t>Vacant units</t>
        </is>
      </c>
      <c r="B21" s="7" t="n">
        <v>2</v>
      </c>
    </row>
    <row r="22">
      <c r="A22" s="5" t="inlineStr">
        <is>
          <t>Non-revenue units</t>
        </is>
      </c>
      <c r="B22" s="7" t="n">
        <v>1</v>
      </c>
      <c r="C22" s="18" t="inlineStr">
        <is>
          <t>Models and down units: in the stock, in neither occupancy bucket.</t>
        </is>
      </c>
    </row>
    <row r="23">
      <c r="A23" s="5" t="inlineStr">
        <is>
          <t>Occupancy</t>
        </is>
      </c>
      <c r="B23" s="19">
        <f>IFERROR(B20/B19,"")</f>
        <v/>
      </c>
    </row>
    <row r="24">
      <c r="A24" s="5" t="inlineStr">
        <is>
          <t>Vacancy</t>
        </is>
      </c>
      <c r="B24" s="19">
        <f>IFERROR(1-B20/B19,"")</f>
        <v/>
      </c>
      <c r="C24" s="18" t="inlineStr">
        <is>
          <t>The physical-vacancy input a model consumes.</t>
        </is>
      </c>
    </row>
    <row r="26">
      <c r="A26" s="17" t="inlineStr">
        <is>
          <t>Annualised turnover rate</t>
        </is>
      </c>
      <c r="B26" s="17" t="n"/>
      <c r="C26" s="17" t="n"/>
    </row>
    <row r="27">
      <c r="A27" s="5" t="inlineStr">
        <is>
          <t>Annualised turnover</t>
        </is>
      </c>
      <c r="B27" s="19" t="n">
        <v>0.25</v>
      </c>
      <c r="C27" s="18" t="inlineStr">
        <is>
          <t>Move-ins in the trailing 12 months, annualised against unit count.</t>
        </is>
      </c>
    </row>
    <row r="29">
      <c r="A29" s="17" t="inlineStr">
        <is>
          <t>New move-ins</t>
        </is>
      </c>
      <c r="B29" s="17" t="n"/>
      <c r="C29" s="17" t="n"/>
    </row>
    <row r="30">
      <c r="A30" s="5" t="inlineStr">
        <is>
          <t>Move-ins in window</t>
        </is>
      </c>
      <c r="B30" s="7" t="n">
        <v>45</v>
      </c>
      <c r="C30" s="18" t="inlineStr">
        <is>
          <t>Counted by MOVE-IN date, never by lease start — a renewal stamps a fresh lease start against a resident who moved in years ago.</t>
        </is>
      </c>
    </row>
    <row r="31">
      <c r="A31" s="5" t="inlineStr">
        <is>
          <t>Window (months)</t>
        </is>
      </c>
      <c r="B31" s="7" t="n">
        <v>12</v>
      </c>
    </row>
    <row r="32">
      <c r="A32" s="5" t="inlineStr">
        <is>
          <t>Share of units</t>
        </is>
      </c>
      <c r="B32" s="19" t="n">
        <v>0.25</v>
      </c>
    </row>
    <row r="34">
      <c r="A34" s="17" t="inlineStr">
        <is>
          <t>Notes</t>
        </is>
      </c>
      <c r="B34" s="17" t="n"/>
      <c r="C34" s="17" t="n"/>
    </row>
    <row r="35" ht="46" customHeight="1">
      <c r="A35" s="20" t="inlineStr">
        <is>
          <t>Market rent for model is the new-lease average where the plan has new leases inside the lookback window, and the in-place average otherwise — the Basis column says which, per plan. No column on this tab blends lease types, and none of them claims a renewal rent: a roll cannot measure one. A blended "recently leased" average is a renewal average wearing a market-rent label, and on a stabilised property renewals outnumber new leases roughly three to two over twelve months.</t>
        </is>
      </c>
    </row>
    <row r="36" ht="32" customHeight="1">
      <c r="A36" s="20" t="inlineStr">
        <is>
          <t>New-lease rent, its count and market rent for model are values rather than formulas on purpose: they depend on the window above, and a formula would re-window itself the day this file is reopened. Unit count, average SF and in-place rent are live formulas over the Rent Roll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8" customWidth="1" min="4" max="4"/>
    <col width="20" customWidth="1" min="5" max="5"/>
    <col width="25" customWidth="1" min="6" max="6"/>
    <col width="22" customWidth="1" min="7" max="7"/>
    <col width="22" customWidth="1" min="8" max="8"/>
    <col width="25" customWidth="1" min="9" max="9"/>
  </cols>
  <sheetData>
    <row r="1">
      <c r="A1" s="1" t="inlineStr">
        <is>
          <t>Lease trade-out</t>
        </is>
      </c>
    </row>
    <row r="2">
      <c r="A2" s="2" t="inlineStr">
        <is>
          <t>Fixture Park — as of 2026-06-30</t>
        </is>
      </c>
    </row>
    <row r="3">
      <c r="A3" s="2" t="inlineStr">
        <is>
          <t>Gross and effective are both stated: concessions are what separate them, and quoting one as the other is how a trade-out number becomes wrong.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Cohort</t>
        </is>
      </c>
      <c r="B5" s="4" t="inlineStr">
        <is>
          <t>Leases</t>
        </is>
      </c>
      <c r="C5" s="4" t="inlineStr">
        <is>
          <t>Prior rent</t>
        </is>
      </c>
      <c r="D5" s="4" t="inlineStr">
        <is>
          <t>New rent (gross)</t>
        </is>
      </c>
      <c r="E5" s="4" t="inlineStr">
        <is>
          <t>Gross change ($)</t>
        </is>
      </c>
      <c r="F5" s="4" t="inlineStr">
        <is>
          <t>Gross change (%)</t>
        </is>
      </c>
      <c r="G5" s="4" t="inlineStr">
        <is>
          <t>New rent (effective)</t>
        </is>
      </c>
      <c r="H5" s="4" t="inlineStr">
        <is>
          <t>Effective change ($)</t>
        </is>
      </c>
      <c r="I5" s="4" t="inlineStr">
        <is>
          <t>Effective change (%)</t>
        </is>
      </c>
    </row>
    <row r="6">
      <c r="A6" s="5" t="inlineStr">
        <is>
          <t>New</t>
        </is>
      </c>
      <c r="B6" s="7" t="n">
        <v>46</v>
      </c>
      <c r="C6" s="7" t="n">
        <v>1706</v>
      </c>
      <c r="D6" s="7" t="n">
        <v>1812</v>
      </c>
      <c r="E6" s="7">
        <f>IFERROR(D6-C6,"")</f>
        <v/>
      </c>
      <c r="F6" s="19">
        <f>IFERROR((D6-C6)/C6,"")</f>
        <v/>
      </c>
      <c r="G6" s="7" t="n">
        <v>1774</v>
      </c>
      <c r="H6" s="7">
        <f>IFERROR(G6-C6,"")</f>
        <v/>
      </c>
      <c r="I6" s="19">
        <f>IFERROR((G6-C6)/C6,"")</f>
        <v/>
      </c>
    </row>
    <row r="7">
      <c r="A7" s="5" t="inlineStr">
        <is>
          <t>Renewal</t>
        </is>
      </c>
      <c r="B7" s="7" t="n">
        <v>88</v>
      </c>
      <c r="C7" s="7" t="n">
        <v>1698</v>
      </c>
      <c r="D7" s="7" t="n">
        <v>1745</v>
      </c>
      <c r="E7" s="7">
        <f>IFERROR(D7-C7,"")</f>
        <v/>
      </c>
      <c r="F7" s="19">
        <f>IFERROR((D7-C7)/C7,"")</f>
        <v/>
      </c>
      <c r="G7" s="7" t="n">
        <v>1745</v>
      </c>
      <c r="H7" s="7">
        <f>IFERROR(G7-C7,"")</f>
        <v/>
      </c>
      <c r="I7" s="19">
        <f>IFERROR((G7-C7)/C7,"")</f>
        <v/>
      </c>
    </row>
    <row r="8">
      <c r="A8" s="5" t="inlineStr">
        <is>
          <t>First generation</t>
        </is>
      </c>
      <c r="B8" s="7" t="n">
        <v>12</v>
      </c>
      <c r="C8" s="7" t="n">
        <v>0</v>
      </c>
      <c r="D8" s="7" t="n">
        <v>1836</v>
      </c>
      <c r="E8" s="7">
        <f>IFERROR(D8-C8,"")</f>
        <v/>
      </c>
      <c r="F8" s="19">
        <f>IFERROR((D8-C8)/C8,"")</f>
        <v/>
      </c>
      <c r="G8" s="7" t="n">
        <v>1790</v>
      </c>
      <c r="H8" s="7">
        <f>IFERROR(G8-C8,"")</f>
        <v/>
      </c>
      <c r="I8" s="19">
        <f>IFERROR((G8-C8)/C8,"")</f>
        <v/>
      </c>
    </row>
    <row r="9"/>
    <row r="10">
      <c r="A10" s="2" t="inlineStr">
        <is>
          <t>A first-generation lease has no prior rent, so its percentage change is undefined and reads blank rather than as a number divided by zero.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The rent roll, unit mix and trade-out.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Stamped values in this workbook</t>
        </is>
      </c>
      <c r="B5" s="12" t="n">
        <v>8</v>
      </c>
    </row>
    <row r="6">
      <c r="A6" s="11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rent_roll.as_of</t>
        </is>
      </c>
      <c r="B9" s="5" t="inlineStr">
        <is>
          <t>2026-06-30</t>
        </is>
      </c>
      <c r="C9" s="5" t="inlineStr">
        <is>
          <t>Synthetic rent roll export</t>
        </is>
      </c>
      <c r="D9" s="5" t="inlineStr">
        <is>
          <t>Rent Roll!A2</t>
        </is>
      </c>
      <c r="E9" s="5" t="inlineStr">
        <is>
          <t>read</t>
        </is>
      </c>
      <c r="F9" s="10" t="n"/>
      <c r="G9" s="22" t="n"/>
    </row>
    <row r="10">
      <c r="A10" s="21" t="inlineStr">
        <is>
          <t>rent_roll.lookback_months</t>
        </is>
      </c>
      <c r="B10" s="5" t="inlineStr">
        <is>
          <t>12</t>
        </is>
      </c>
      <c r="C10" s="5" t="inlineStr">
        <is>
          <t>Supplied by the operator</t>
        </is>
      </c>
      <c r="D10" s="5" t="inlineStr">
        <is>
          <t>—</t>
        </is>
      </c>
      <c r="E10" s="5" t="inlineStr">
        <is>
          <t>read</t>
        </is>
      </c>
      <c r="F10" s="10" t="n"/>
      <c r="G10" s="23" t="inlineStr">
        <is>
          <t>Analysis knob.</t>
        </is>
      </c>
    </row>
    <row r="11">
      <c r="A11" s="21" t="inlineStr">
        <is>
          <t>rent_roll.new_tenant_tolerance_days</t>
        </is>
      </c>
      <c r="B11" s="5" t="inlineStr">
        <is>
          <t>31</t>
        </is>
      </c>
      <c r="C11" s="5" t="inlineStr">
        <is>
          <t>Supplied by the operator</t>
        </is>
      </c>
      <c r="D11" s="5" t="inlineStr">
        <is>
          <t>—</t>
        </is>
      </c>
      <c r="E11" s="5" t="inlineStr">
        <is>
          <t>read</t>
        </is>
      </c>
      <c r="F11" s="10" t="n"/>
      <c r="G11" s="23" t="inlineStr">
        <is>
          <t>Analysis knob.</t>
        </is>
      </c>
    </row>
    <row r="12">
      <c r="A12" s="21" t="inlineStr">
        <is>
          <t>rent_roll.units</t>
        </is>
      </c>
      <c r="B12" s="5" t="inlineStr">
        <is>
          <t>180 entries</t>
        </is>
      </c>
      <c r="C12" s="5" t="inlineStr">
        <is>
          <t>Synthetic rent roll export</t>
        </is>
      </c>
      <c r="D12" s="5" t="inlineStr">
        <is>
          <t>Rent Roll!A4:K183</t>
        </is>
      </c>
      <c r="E12" s="5" t="inlineStr">
        <is>
          <t>read</t>
        </is>
      </c>
      <c r="F12" s="10" t="n"/>
      <c r="G12" s="23" t="inlineStr">
        <is>
          <t>Unit identifiers only; the source's resident-name column is never read.</t>
        </is>
      </c>
    </row>
    <row r="13">
      <c r="A13" s="21" t="inlineStr">
        <is>
          <t>summary.in_place_rent_avg</t>
        </is>
      </c>
      <c r="B13" s="5" t="inlineStr">
        <is>
          <t>1,795.36</t>
        </is>
      </c>
      <c r="C13" s="5" t="inlineStr">
        <is>
          <t>Derived by the pipeline</t>
        </is>
      </c>
      <c r="D13" s="5" t="inlineStr">
        <is>
          <t>Unit Mix Summary!E</t>
        </is>
      </c>
      <c r="E13" s="5" t="inlineStr">
        <is>
          <t>computed</t>
        </is>
      </c>
      <c r="F13" s="5" t="inlineStr">
        <is>
          <t>rent_roll.units</t>
        </is>
      </c>
      <c r="G13" s="23" t="inlineStr">
        <is>
          <t>Occupied units, straight off the roll.</t>
        </is>
      </c>
    </row>
    <row r="14">
      <c r="A14" s="21" t="inlineStr">
        <is>
          <t>summary.market_rent_for_model</t>
        </is>
      </c>
      <c r="B14" s="5" t="inlineStr">
        <is>
          <t>1,834.78</t>
        </is>
      </c>
      <c r="C14" s="5" t="inlineStr">
        <is>
          <t>Derived by the pipeline</t>
        </is>
      </c>
      <c r="D14" s="5" t="inlineStr">
        <is>
          <t>Unit Mix Summary!H</t>
        </is>
      </c>
      <c r="E14" s="5" t="inlineStr">
        <is>
          <t>computed</t>
        </is>
      </c>
      <c r="F14" s="5" t="inlineStr">
        <is>
          <t>rent_roll.units</t>
        </is>
      </c>
      <c r="G14" s="23" t="inlineStr">
        <is>
          <t>New-lease average where a plan has new leases in the window, else in-place. Never a blend.</t>
        </is>
      </c>
    </row>
    <row r="15">
      <c r="A15" s="21" t="inlineStr">
        <is>
          <t>summary.unit_count</t>
        </is>
      </c>
      <c r="B15" s="5" t="inlineStr">
        <is>
          <t>180</t>
        </is>
      </c>
      <c r="C15" s="5" t="inlineStr">
        <is>
          <t>Synthetic rent roll export</t>
        </is>
      </c>
      <c r="D15" s="5" t="inlineStr">
        <is>
          <t>Rent Roll!A:A</t>
        </is>
      </c>
      <c r="E15" s="5" t="inlineStr">
        <is>
          <t>derived</t>
        </is>
      </c>
      <c r="F15" s="5" t="inlineStr">
        <is>
          <t>rent_roll.units</t>
        </is>
      </c>
      <c r="G15" s="23" t="inlineStr">
        <is>
          <t>Distinct unit identifiers on the roll.</t>
        </is>
      </c>
    </row>
    <row r="16">
      <c r="A16" s="21" t="inlineStr">
        <is>
          <t>trade_out.rows</t>
        </is>
      </c>
      <c r="B16" s="5" t="inlineStr">
        <is>
          <t>3 entries</t>
        </is>
      </c>
      <c r="C16" s="5" t="inlineStr">
        <is>
          <t>Synthetic lease trade-out report</t>
        </is>
      </c>
      <c r="D16" s="5" t="inlineStr">
        <is>
          <t>—</t>
        </is>
      </c>
      <c r="E16" s="5" t="inlineStr">
        <is>
          <t>read</t>
        </is>
      </c>
      <c r="F16" s="10" t="n"/>
      <c r="G16" s="23" t="inlineStr">
        <is>
          <t>Cohort averages.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