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164" fontId="4" fillId="0" borderId="0" pivotButton="0" quotePrefix="0" xfId="0"/>
    <xf numFmtId="49" fontId="7" fillId="0" borderId="0" pivotButton="0" quotePrefix="0" xfId="0"/>
    <xf numFmtId="49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Gain/(Loss)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G&amp;A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Pricing and cap rate (illustrative)</t>
        </is>
      </c>
      <c r="B16" s="16" t="n"/>
      <c r="C16" s="16" t="n"/>
      <c r="D16" s="16" t="n"/>
      <c r="E16" s="16" t="n"/>
      <c r="F16" s="16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6">
        <f>B17*B18</f>
        <v/>
      </c>
    </row>
    <row r="21">
      <c r="A21" s="5" t="inlineStr">
        <is>
          <t>T-12 revenue</t>
        </is>
      </c>
      <c r="B21" s="6">
        <f>'P&amp;L Summary'!B16</f>
        <v/>
      </c>
    </row>
    <row r="22">
      <c r="A22" s="5" t="inlineStr">
        <is>
          <t>T-12 operating expenses</t>
        </is>
      </c>
      <c r="B22" s="6">
        <f>'P&amp;L Summary'!B29</f>
        <v/>
      </c>
    </row>
    <row r="23">
      <c r="A23" s="5" t="inlineStr">
        <is>
          <t>T-12 net operating income</t>
        </is>
      </c>
      <c r="B23" s="6">
        <f>'P&amp;L Summary'!B30</f>
        <v/>
      </c>
    </row>
    <row r="24">
      <c r="A24" s="5" t="inlineStr">
        <is>
          <t>T-12 cap rate (illustrative)</t>
        </is>
      </c>
      <c r="B24" s="19">
        <f>IFERROR(B23/B19,"")</f>
        <v/>
      </c>
    </row>
    <row r="26">
      <c r="A26" s="5" t="inlineStr">
        <is>
          <t>T-3 annualized revenue</t>
        </is>
      </c>
      <c r="B26" s="6">
        <f>'P&amp;L Summary'!C16</f>
        <v/>
      </c>
    </row>
    <row r="27">
      <c r="A27" s="5" t="inlineStr">
        <is>
          <t>T-3 annualized operating expenses</t>
        </is>
      </c>
      <c r="B27" s="6">
        <f>'P&amp;L Summary'!C29</f>
        <v/>
      </c>
    </row>
    <row r="28">
      <c r="A28" s="5" t="inlineStr">
        <is>
          <t>T-3 annualized net operating income</t>
        </is>
      </c>
      <c r="B28" s="6">
        <f>'P&amp;L Summary'!C30</f>
        <v/>
      </c>
    </row>
    <row r="29">
      <c r="A29" s="5" t="inlineStr">
        <is>
          <t>T-3 annualized cap rate (illustrative)</t>
        </is>
      </c>
      <c r="B29" s="19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19">
        <f>IFERROR(B33/B19,"")</f>
        <v/>
      </c>
    </row>
    <row r="36">
      <c r="A36" s="16" t="inlineStr">
        <is>
          <t>Revenue trend</t>
        </is>
      </c>
      <c r="B36" s="16" t="n"/>
      <c r="C36" s="16" t="n"/>
      <c r="D36" s="16" t="n"/>
      <c r="E36" s="16" t="n"/>
      <c r="F36" s="16" t="n"/>
    </row>
    <row r="37">
      <c r="A37" s="5" t="inlineStr">
        <is>
          <t>T-12 revenue</t>
        </is>
      </c>
      <c r="B37" s="6">
        <f>'P&amp;L Summary'!B16</f>
        <v/>
      </c>
    </row>
    <row r="38">
      <c r="A38" s="5" t="inlineStr">
        <is>
          <t>T-6 revenue (annualized)</t>
        </is>
      </c>
      <c r="B38" s="6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6">
        <f>'P&amp;L Summary'!C16</f>
        <v/>
      </c>
    </row>
    <row r="40">
      <c r="A40" s="5" t="inlineStr">
        <is>
          <t>T-3 versus T-12</t>
        </is>
      </c>
      <c r="B40" s="20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50/50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22" t="inlineStr">
        <is>
          <t>Illustrative. Inside the band a per-unit sale price occupies.</t>
        </is>
      </c>
    </row>
    <row r="10">
      <c r="A10" s="21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1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22" t="inlineStr">
        <is>
          <t>Twelve consecutive month-end columns; direction detected from the labels.</t>
        </is>
      </c>
    </row>
    <row r="12">
      <c r="A12" s="21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22" t="inlineStr">
        <is>
          <t>The statement's own printed subtotals, kept for the cross-tie.</t>
        </is>
      </c>
    </row>
    <row r="13">
      <c r="A13" s="21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