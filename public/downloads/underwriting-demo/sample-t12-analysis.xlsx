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IF(SUMIF($B$6:$B$37,"Gross Scheduled Rent",C$6:C$37)&lt;&gt;0,SUMIF($B$6:$B$37,"Gross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IF(SUMIF($B$6:$B$37,"Gross Scheduled Rent",D$6:D$37)&lt;&gt;0,SUMIF($B$6:$B$37,"Gross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IF(SUMIF($B$6:$B$37,"Gross Scheduled Rent",E$6:E$37)&lt;&gt;0,SUMIF($B$6:$B$37,"Gross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IF(SUMIF($B$6:$B$37,"Gross Scheduled Rent",F$6:F$37)&lt;&gt;0,SUMIF($B$6:$B$37,"Gross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IF(SUMIF($B$6:$B$37,"Gross Scheduled Rent",G$6:G$37)&lt;&gt;0,SUMIF($B$6:$B$37,"Gross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IF(SUMIF($B$6:$B$37,"Gross Scheduled Rent",H$6:H$37)&lt;&gt;0,SUMIF($B$6:$B$37,"Gross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IF(SUMIF($B$6:$B$37,"Gross Scheduled Rent",I$6:I$37)&lt;&gt;0,SUMIF($B$6:$B$37,"Gross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IF(SUMIF($B$6:$B$37,"Gross Scheduled Rent",J$6:J$37)&lt;&gt;0,SUMIF($B$6:$B$37,"Gross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IF(SUMIF($B$6:$B$37,"Gross Scheduled Rent",K$6:K$37)&lt;&gt;0,SUMIF($B$6:$B$37,"Gross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IF(SUMIF($B$6:$B$37,"Gross Scheduled Rent",L$6:L$37)&lt;&gt;0,SUMIF($B$6:$B$37,"Gross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IF(SUMIF($B$6:$B$37,"Gross Scheduled Rent",M$6:M$37)&lt;&gt;0,SUMIF($B$6:$B$37,"Gross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IF(SUMIF($B$6:$B$37,"Gross Scheduled Rent",N$6:N$37)&lt;&gt;0,SUMIF($B$6:$B$37,"Gross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Gain/(Loss)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IF(SUMIF('T-12 Data'!$B$6:$B$37,$A8,'T-12 Data'!$O$6:$O$37)&lt;&gt;0,SUMIF('T-12 Data'!$B$6:$B$37,$A8,'T-12 Data'!$O$6:$O$37),B6+B7)</f>
        <v/>
      </c>
      <c r="C8" s="9">
        <f>IF(SUMIF('T-12 Data'!$B$6:$B$37,$A8,'T-12 Data'!$O$6:$O$37)&lt;&gt;0,SUMIF('T-12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G&amp;A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Pricing and cap rate (illustrative)</t>
        </is>
      </c>
      <c r="B16" s="16" t="n"/>
      <c r="C16" s="16" t="n"/>
      <c r="D16" s="16" t="n"/>
      <c r="E16" s="16" t="n"/>
      <c r="F16" s="16" t="n"/>
    </row>
    <row r="17">
      <c r="A17" s="5" t="inlineStr">
        <is>
          <t>Price per unit</t>
        </is>
      </c>
      <c r="B17" s="6" t="n">
        <v>215000</v>
      </c>
      <c r="C17" s="18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18">
      <c r="A18" s="5" t="inlineStr">
        <is>
          <t>Unit count</t>
        </is>
      </c>
      <c r="B18" s="6" t="n">
        <v>180</v>
      </c>
    </row>
    <row r="19">
      <c r="A19" s="5" t="inlineStr">
        <is>
          <t>Total purchase price</t>
        </is>
      </c>
      <c r="B19" s="6">
        <f>B17*B18</f>
        <v/>
      </c>
    </row>
    <row r="21">
      <c r="A21" s="5" t="inlineStr">
        <is>
          <t>T-12 revenue</t>
        </is>
      </c>
      <c r="B21" s="6">
        <f>'P&amp;L Summary'!B16</f>
        <v/>
      </c>
    </row>
    <row r="22">
      <c r="A22" s="5" t="inlineStr">
        <is>
          <t>T-12 operating expenses</t>
        </is>
      </c>
      <c r="B22" s="6">
        <f>'P&amp;L Summary'!B29</f>
        <v/>
      </c>
    </row>
    <row r="23">
      <c r="A23" s="5" t="inlineStr">
        <is>
          <t>T-12 net operating income</t>
        </is>
      </c>
      <c r="B23" s="6">
        <f>'P&amp;L Summary'!B30</f>
        <v/>
      </c>
    </row>
    <row r="24">
      <c r="A24" s="5" t="inlineStr">
        <is>
          <t>T-12 cap rate (illustrative)</t>
        </is>
      </c>
      <c r="B24" s="19">
        <f>IFERROR(B23/B19,"")</f>
        <v/>
      </c>
    </row>
    <row r="26">
      <c r="A26" s="5" t="inlineStr">
        <is>
          <t>T-3 annualized revenue</t>
        </is>
      </c>
      <c r="B26" s="6">
        <f>'P&amp;L Summary'!C16</f>
        <v/>
      </c>
    </row>
    <row r="27">
      <c r="A27" s="5" t="inlineStr">
        <is>
          <t>T-3 annualized operating expenses</t>
        </is>
      </c>
      <c r="B27" s="6">
        <f>'P&amp;L Summary'!C29</f>
        <v/>
      </c>
    </row>
    <row r="28">
      <c r="A28" s="5" t="inlineStr">
        <is>
          <t>T-3 annualized net operating income</t>
        </is>
      </c>
      <c r="B28" s="6">
        <f>'P&amp;L Summary'!C30</f>
        <v/>
      </c>
    </row>
    <row r="29">
      <c r="A29" s="5" t="inlineStr">
        <is>
          <t>T-3 annualized cap rate (illustrative)</t>
        </is>
      </c>
      <c r="B29" s="19">
        <f>IFERROR(B28/B19,"")</f>
        <v/>
      </c>
    </row>
    <row r="31">
      <c r="A31" s="5" t="inlineStr">
        <is>
          <t>Broker pro forma revenue</t>
        </is>
      </c>
      <c r="B31" s="6" t="n">
        <v>4051427.88</v>
      </c>
      <c r="C31" s="18" t="inlineStr">
        <is>
          <t>Kept in its own block; never merged into the T-12.</t>
        </is>
      </c>
    </row>
    <row r="32">
      <c r="A32" s="5" t="inlineStr">
        <is>
          <t>Broker pro forma operating expenses</t>
        </is>
      </c>
      <c r="B32" s="6" t="n">
        <v>1718834.16</v>
      </c>
    </row>
    <row r="33">
      <c r="A33" s="5" t="inlineStr">
        <is>
          <t>Broker pro forma net operating income</t>
        </is>
      </c>
      <c r="B33" s="6" t="n">
        <v>2332593.72</v>
      </c>
    </row>
    <row r="34">
      <c r="A34" s="5" t="inlineStr">
        <is>
          <t>Broker pro forma cap rate (illustrative)</t>
        </is>
      </c>
      <c r="B34" s="19">
        <f>IFERROR(B33/B19,"")</f>
        <v/>
      </c>
    </row>
    <row r="36">
      <c r="A36" s="16" t="inlineStr">
        <is>
          <t>Revenue trend</t>
        </is>
      </c>
      <c r="B36" s="16" t="n"/>
      <c r="C36" s="16" t="n"/>
      <c r="D36" s="16" t="n"/>
      <c r="E36" s="16" t="n"/>
      <c r="F36" s="16" t="n"/>
    </row>
    <row r="37">
      <c r="A37" s="5" t="inlineStr">
        <is>
          <t>T-12 revenue</t>
        </is>
      </c>
      <c r="B37" s="6">
        <f>'P&amp;L Summary'!B16</f>
        <v/>
      </c>
    </row>
    <row r="38">
      <c r="A38" s="5" t="inlineStr">
        <is>
          <t>T-6 revenue (annualized)</t>
        </is>
      </c>
      <c r="B38" s="6">
        <f>SUM('T-12 Data'!I39:N39)*2</f>
        <v/>
      </c>
      <c r="C38" s="18" t="inlineStr">
        <is>
          <t>Trailing six months times two, off the T-12 Data tab's computed revenue row.</t>
        </is>
      </c>
    </row>
    <row r="39">
      <c r="A39" s="5" t="inlineStr">
        <is>
          <t>T-3 revenue (annualized)</t>
        </is>
      </c>
      <c r="B39" s="6">
        <f>'P&amp;L Summary'!C16</f>
        <v/>
      </c>
    </row>
    <row r="40">
      <c r="A40" s="5" t="inlineStr">
        <is>
          <t>T-3 versus T-12</t>
        </is>
      </c>
      <c r="B40" s="20">
        <f>IFERROR(B39/B21-1,"")</f>
        <v/>
      </c>
      <c r="C40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