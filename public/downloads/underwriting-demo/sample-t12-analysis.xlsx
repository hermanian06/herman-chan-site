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-12 Data" sheetId="1" state="visible" r:id="rId1"/>
    <sheet name="P&amp;L Summary" sheetId="2" state="visible" r:id="rId2"/>
    <sheet name="Checks &amp; Pricing" sheetId="3" state="visible" r:id="rId3"/>
    <sheet name="Audit Tr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10"/>
    </font>
    <font>
      <name val="Calibri"/>
      <b val="1"/>
      <sz val="11"/>
    </font>
    <font>
      <name val="Calibri"/>
      <sz val="11"/>
    </font>
    <font/>
    <font>
      <name val="Calibri"/>
      <b val="1"/>
      <color rgb="00FFFFFF"/>
      <sz val="11"/>
    </font>
    <font>
      <name val="Calibri"/>
      <sz val="10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595959"/>
      </patternFill>
    </fill>
  </fills>
  <borders count="3">
    <border>
      <left/>
      <right/>
      <top/>
      <bottom/>
      <diagonal/>
    </border>
    <border>
      <bottom style="medium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2" borderId="2" applyAlignment="1" pivotButton="0" quotePrefix="0" xfId="0">
      <alignment vertical="top" wrapText="1"/>
    </xf>
    <xf numFmtId="49" fontId="4" fillId="0" borderId="0" pivotButton="0" quotePrefix="0" xfId="0"/>
    <xf numFmtId="3" fontId="4" fillId="0" borderId="0" pivotButton="0" quotePrefix="0" xfId="0"/>
    <xf numFmtId="49" fontId="3" fillId="3" borderId="0" pivotButton="0" quotePrefix="0" xfId="0"/>
    <xf numFmtId="0" fontId="3" fillId="3" borderId="0" pivotButton="0" quotePrefix="0" xfId="0"/>
    <xf numFmtId="3" fontId="3" fillId="3" borderId="0" pivotButton="0" quotePrefix="0" xfId="0"/>
    <xf numFmtId="0" fontId="3" fillId="0" borderId="0" pivotButton="0" quotePrefix="0" xfId="0"/>
    <xf numFmtId="3" fontId="3" fillId="0" borderId="0" pivotButton="0" quotePrefix="0" xfId="0"/>
    <xf numFmtId="0" fontId="5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3" fillId="3" borderId="0" pivotButton="0" quotePrefix="0" xfId="0"/>
    <xf numFmtId="0" fontId="6" fillId="4" borderId="0" pivotButton="0" quotePrefix="0" xfId="0"/>
    <xf numFmtId="0" fontId="4" fillId="0" borderId="0" pivotButton="0" quotePrefix="0" xfId="0"/>
    <xf numFmtId="49" fontId="4" fillId="0" borderId="0" applyAlignment="1" pivotButton="0" quotePrefix="0" xfId="0">
      <alignment vertical="top" wrapText="1"/>
    </xf>
    <xf numFmtId="164" fontId="4" fillId="0" borderId="0" pivotButton="0" quotePrefix="0" xfId="0"/>
    <xf numFmtId="0" fontId="2" fillId="0" borderId="0" applyAlignment="1" pivotButton="0" quotePrefix="0" xfId="0">
      <alignment vertical="top" wrapText="1"/>
    </xf>
    <xf numFmtId="10" fontId="4" fillId="0" borderId="0" pivotButton="0" quotePrefix="0" xfId="0"/>
    <xf numFmtId="49" fontId="7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T-12 data</t>
        </is>
      </c>
    </row>
    <row r="2">
      <c r="A2" s="2" t="inlineStr">
        <is>
          <t>Fixture Park — as of 2026-06-30</t>
        </is>
      </c>
    </row>
    <row r="3">
      <c r="A3" s="2" t="inlineStr">
        <is>
          <t>Months run oldest-first, detected from the labels rather than assumed — the trailing-three window depends on it.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Line item</t>
        </is>
      </c>
      <c r="B5" s="4" t="inlineStr">
        <is>
          <t>Category</t>
        </is>
      </c>
      <c r="C5" s="4" t="inlineStr">
        <is>
          <t>2025-07</t>
        </is>
      </c>
      <c r="D5" s="4" t="inlineStr">
        <is>
          <t>2025-08</t>
        </is>
      </c>
      <c r="E5" s="4" t="inlineStr">
        <is>
          <t>2025-09</t>
        </is>
      </c>
      <c r="F5" s="4" t="inlineStr">
        <is>
          <t>2025-10</t>
        </is>
      </c>
      <c r="G5" s="4" t="inlineStr">
        <is>
          <t>2025-11</t>
        </is>
      </c>
      <c r="H5" s="4" t="inlineStr">
        <is>
          <t>2025-12</t>
        </is>
      </c>
      <c r="I5" s="4" t="inlineStr">
        <is>
          <t>2026-01</t>
        </is>
      </c>
      <c r="J5" s="4" t="inlineStr">
        <is>
          <t>2026-02</t>
        </is>
      </c>
      <c r="K5" s="4" t="inlineStr">
        <is>
          <t>2026-03</t>
        </is>
      </c>
      <c r="L5" s="4" t="inlineStr">
        <is>
          <t>2026-04</t>
        </is>
      </c>
      <c r="M5" s="4" t="inlineStr">
        <is>
          <t>2026-05</t>
        </is>
      </c>
      <c r="N5" s="4" t="inlineStr">
        <is>
          <t>2026-06</t>
        </is>
      </c>
      <c r="O5" s="4" t="inlineStr">
        <is>
          <t>T-12 total</t>
        </is>
      </c>
      <c r="P5" s="4" t="inlineStr">
        <is>
          <t>T-3 total</t>
        </is>
      </c>
    </row>
    <row r="6">
      <c r="A6" s="5" t="inlineStr">
        <is>
          <t>Gross Potential Rent</t>
        </is>
      </c>
      <c r="B6" s="5" t="inlineStr">
        <is>
          <t>Gross Potential Rent</t>
        </is>
      </c>
      <c r="C6" s="6" t="n">
        <v>319842.65</v>
      </c>
      <c r="D6" s="6" t="n">
        <v>319950.56</v>
      </c>
      <c r="E6" s="6" t="n">
        <v>320383.35</v>
      </c>
      <c r="F6" s="6" t="n">
        <v>320498.47</v>
      </c>
      <c r="G6" s="6" t="n">
        <v>325401.43</v>
      </c>
      <c r="H6" s="6" t="n">
        <v>323898.59</v>
      </c>
      <c r="I6" s="6" t="n">
        <v>324989.92</v>
      </c>
      <c r="J6" s="6" t="n">
        <v>325437.91</v>
      </c>
      <c r="K6" s="6" t="n">
        <v>325890.7</v>
      </c>
      <c r="L6" s="6" t="n">
        <v>332749.29</v>
      </c>
      <c r="M6" s="6" t="n">
        <v>333211.68</v>
      </c>
      <c r="N6" s="6" t="n">
        <v>333678.88</v>
      </c>
      <c r="O6" s="6">
        <f>SUM(C6:N6)</f>
        <v/>
      </c>
      <c r="P6" s="6">
        <f>SUM(L6:N6)</f>
        <v/>
      </c>
    </row>
    <row r="7">
      <c r="A7" s="5" t="inlineStr">
        <is>
          <t>Loss to Lease</t>
        </is>
      </c>
      <c r="B7" s="5" t="inlineStr">
        <is>
          <t>Gain / (Loss) to Lease</t>
        </is>
      </c>
      <c r="C7" s="6" t="n">
        <v>-6656.86</v>
      </c>
      <c r="D7" s="6" t="n">
        <v>-6671.06</v>
      </c>
      <c r="E7" s="6" t="n">
        <v>-6692.08</v>
      </c>
      <c r="F7" s="6" t="n">
        <v>-6841.42</v>
      </c>
      <c r="G7" s="6" t="n">
        <v>-6821.9</v>
      </c>
      <c r="H7" s="6" t="n">
        <v>-6802.27</v>
      </c>
      <c r="I7" s="6" t="n">
        <v>-6837.11</v>
      </c>
      <c r="J7" s="6" t="n">
        <v>-6858.45</v>
      </c>
      <c r="K7" s="6" t="n">
        <v>-6879.89</v>
      </c>
      <c r="L7" s="6" t="n">
        <v>-6901.43</v>
      </c>
      <c r="M7" s="6" t="n">
        <v>-6923.07</v>
      </c>
      <c r="N7" s="6" t="n">
        <v>-7079.81</v>
      </c>
      <c r="O7" s="6">
        <f>SUM(C7:N7)</f>
        <v/>
      </c>
      <c r="P7" s="6">
        <f>SUM(L7:N7)</f>
        <v/>
      </c>
    </row>
    <row r="8">
      <c r="A8" s="5" t="inlineStr">
        <is>
          <t>Vacancy Loss</t>
        </is>
      </c>
      <c r="B8" s="5" t="inlineStr">
        <is>
          <t>Vacancy</t>
        </is>
      </c>
      <c r="C8" s="6" t="n">
        <v>-18373.24</v>
      </c>
      <c r="D8" s="6" t="n">
        <v>-18689.64</v>
      </c>
      <c r="E8" s="6" t="n">
        <v>-18653.88</v>
      </c>
      <c r="F8" s="6" t="n">
        <v>-18599.7</v>
      </c>
      <c r="G8" s="6" t="n">
        <v>-18822.95</v>
      </c>
      <c r="H8" s="6" t="n">
        <v>-18674.93</v>
      </c>
      <c r="I8" s="6" t="n">
        <v>-18677.36</v>
      </c>
      <c r="J8" s="6" t="n">
        <v>-19013.49</v>
      </c>
      <c r="K8" s="6" t="n">
        <v>-18978.89</v>
      </c>
      <c r="L8" s="6" t="n">
        <v>-19315.57</v>
      </c>
      <c r="M8" s="6" t="n">
        <v>-19281.53</v>
      </c>
      <c r="N8" s="6" t="n">
        <v>-19247.76</v>
      </c>
      <c r="O8" s="6">
        <f>SUM(C8:N8)</f>
        <v/>
      </c>
      <c r="P8" s="6">
        <f>SUM(L8:N8)</f>
        <v/>
      </c>
    </row>
    <row r="9">
      <c r="A9" s="5" t="inlineStr">
        <is>
          <t>Concessions — Move-in</t>
        </is>
      </c>
      <c r="B9" s="5" t="inlineStr">
        <is>
          <t>Concessions</t>
        </is>
      </c>
      <c r="C9" s="6" t="n">
        <v>-3472.17</v>
      </c>
      <c r="D9" s="6" t="n">
        <v>-3546.98</v>
      </c>
      <c r="E9" s="6" t="n">
        <v>-3554.37</v>
      </c>
      <c r="F9" s="6" t="n">
        <v>-3558.27</v>
      </c>
      <c r="G9" s="6" t="n">
        <v>-3544.42</v>
      </c>
      <c r="H9" s="6" t="n">
        <v>-3530.52</v>
      </c>
      <c r="I9" s="6" t="n">
        <v>-3545.16</v>
      </c>
      <c r="J9" s="6" t="n">
        <v>-3623.71</v>
      </c>
      <c r="K9" s="6" t="n">
        <v>-3631.32</v>
      </c>
      <c r="L9" s="6" t="n">
        <v>-3638.99</v>
      </c>
      <c r="M9" s="6" t="n">
        <v>-3646.7</v>
      </c>
      <c r="N9" s="6" t="n">
        <v>-3654.47</v>
      </c>
      <c r="O9" s="6">
        <f>SUM(C9:N9)</f>
        <v/>
      </c>
      <c r="P9" s="6">
        <f>SUM(L9:N9)</f>
        <v/>
      </c>
    </row>
    <row r="10">
      <c r="A10" s="5" t="inlineStr">
        <is>
          <t>Non-Revenue Units</t>
        </is>
      </c>
      <c r="B10" s="5" t="inlineStr">
        <is>
          <t>Non-Revenue Units</t>
        </is>
      </c>
      <c r="C10" s="6" t="n">
        <v>-1277.88</v>
      </c>
      <c r="D10" s="6" t="n">
        <v>-1272.63</v>
      </c>
      <c r="E10" s="6" t="n">
        <v>-1293.68</v>
      </c>
      <c r="F10" s="6" t="n">
        <v>-1288.46</v>
      </c>
      <c r="G10" s="6" t="n">
        <v>-1301.79</v>
      </c>
      <c r="H10" s="6" t="n">
        <v>-1290.1</v>
      </c>
      <c r="I10" s="6" t="n">
        <v>-1288.78</v>
      </c>
      <c r="J10" s="6" t="n">
        <v>-1309.9</v>
      </c>
      <c r="K10" s="6" t="n">
        <v>-1306.03</v>
      </c>
      <c r="L10" s="6" t="n">
        <v>-1327.18</v>
      </c>
      <c r="M10" s="6" t="n">
        <v>-1323.35</v>
      </c>
      <c r="N10" s="6" t="n">
        <v>-1344.54</v>
      </c>
      <c r="O10" s="6">
        <f>SUM(C10:N10)</f>
        <v/>
      </c>
      <c r="P10" s="6">
        <f>SUM(L10:N10)</f>
        <v/>
      </c>
    </row>
    <row r="11">
      <c r="A11" s="5" t="inlineStr">
        <is>
          <t>Bad Debt</t>
        </is>
      </c>
      <c r="B11" s="5" t="inlineStr">
        <is>
          <t>Delinquency</t>
        </is>
      </c>
      <c r="C11" s="6" t="n">
        <v>-2207.29</v>
      </c>
      <c r="D11" s="6" t="n">
        <v>-2246.35</v>
      </c>
      <c r="E11" s="6" t="n">
        <v>-2242.69</v>
      </c>
      <c r="F11" s="6" t="n">
        <v>-2281.81</v>
      </c>
      <c r="G11" s="6" t="n">
        <v>-2264.63</v>
      </c>
      <c r="H11" s="6" t="n">
        <v>-2247.42</v>
      </c>
      <c r="I11" s="6" t="n">
        <v>-2293.37</v>
      </c>
      <c r="J11" s="6" t="n">
        <v>-2289.82</v>
      </c>
      <c r="K11" s="6" t="n">
        <v>-2286.3</v>
      </c>
      <c r="L11" s="6" t="n">
        <v>-2327.81</v>
      </c>
      <c r="M11" s="6" t="n">
        <v>-2324.36</v>
      </c>
      <c r="N11" s="6" t="n">
        <v>-2320.94</v>
      </c>
      <c r="O11" s="6">
        <f>SUM(C11:N11)</f>
        <v/>
      </c>
      <c r="P11" s="6">
        <f>SUM(L11:N11)</f>
        <v/>
      </c>
    </row>
    <row r="12">
      <c r="A12" s="5" t="inlineStr">
        <is>
          <t>RUBS — Water/Sewer</t>
        </is>
      </c>
      <c r="B12" s="5" t="inlineStr">
        <is>
          <t>Utility Reimbursements</t>
        </is>
      </c>
      <c r="C12" s="6" t="n">
        <v>9729</v>
      </c>
      <c r="D12" s="6" t="n">
        <v>9813.030000000001</v>
      </c>
      <c r="E12" s="6" t="n">
        <v>9907</v>
      </c>
      <c r="F12" s="6" t="n">
        <v>9991.25</v>
      </c>
      <c r="G12" s="6" t="n">
        <v>9829.1</v>
      </c>
      <c r="H12" s="6" t="n">
        <v>9863.809999999999</v>
      </c>
      <c r="I12" s="6" t="n">
        <v>9977.950000000001</v>
      </c>
      <c r="J12" s="6" t="n">
        <v>10072.39</v>
      </c>
      <c r="K12" s="6" t="n">
        <v>9969.969999999999</v>
      </c>
      <c r="L12" s="6" t="n">
        <v>10064.7</v>
      </c>
      <c r="M12" s="6" t="n">
        <v>10159.58</v>
      </c>
      <c r="N12" s="6" t="n">
        <v>10254.61</v>
      </c>
      <c r="O12" s="6">
        <f>SUM(C12:N12)</f>
        <v/>
      </c>
      <c r="P12" s="6">
        <f>SUM(L12:N12)</f>
        <v/>
      </c>
    </row>
    <row r="13">
      <c r="A13" s="5" t="inlineStr">
        <is>
          <t>RUBS — Trash</t>
        </is>
      </c>
      <c r="B13" s="5" t="inlineStr">
        <is>
          <t>Utility Reimbursements</t>
        </is>
      </c>
      <c r="C13" s="6" t="n">
        <v>4204</v>
      </c>
      <c r="D13" s="6" t="n">
        <v>4223.87</v>
      </c>
      <c r="E13" s="6" t="n">
        <v>4248</v>
      </c>
      <c r="F13" s="6" t="n">
        <v>4267.96</v>
      </c>
      <c r="G13" s="6" t="n">
        <v>4266.76</v>
      </c>
      <c r="H13" s="6" t="n">
        <v>4265.49</v>
      </c>
      <c r="I13" s="6" t="n">
        <v>4298.26</v>
      </c>
      <c r="J13" s="6" t="n">
        <v>4322.59</v>
      </c>
      <c r="K13" s="6" t="n">
        <v>4346.99</v>
      </c>
      <c r="L13" s="6" t="n">
        <v>4371.44</v>
      </c>
      <c r="M13" s="6" t="n">
        <v>4395.96</v>
      </c>
      <c r="N13" s="6" t="n">
        <v>4420.55</v>
      </c>
      <c r="O13" s="6">
        <f>SUM(C13:N13)</f>
        <v/>
      </c>
      <c r="P13" s="6">
        <f>SUM(L13:N13)</f>
        <v/>
      </c>
    </row>
    <row r="14">
      <c r="A14" s="5" t="inlineStr">
        <is>
          <t>Pet Rent</t>
        </is>
      </c>
      <c r="B14" s="5" t="inlineStr">
        <is>
          <t>Other Income</t>
        </is>
      </c>
      <c r="C14" s="6" t="n">
        <v>3891.5</v>
      </c>
      <c r="D14" s="6" t="n">
        <v>3883.02</v>
      </c>
      <c r="E14" s="6" t="n">
        <v>3957.5</v>
      </c>
      <c r="F14" s="6" t="n">
        <v>3949.11</v>
      </c>
      <c r="G14" s="6" t="n">
        <v>3921.06</v>
      </c>
      <c r="H14" s="6" t="n">
        <v>3971.95</v>
      </c>
      <c r="I14" s="6" t="n">
        <v>3975.46</v>
      </c>
      <c r="J14" s="6" t="n">
        <v>3971.12</v>
      </c>
      <c r="K14" s="6" t="n">
        <v>3966.85</v>
      </c>
      <c r="L14" s="6" t="n">
        <v>4041.63</v>
      </c>
      <c r="M14" s="6" t="n">
        <v>4037.47</v>
      </c>
      <c r="N14" s="6" t="n">
        <v>4033.37</v>
      </c>
      <c r="O14" s="6">
        <f>SUM(C14:N14)</f>
        <v/>
      </c>
      <c r="P14" s="6">
        <f>SUM(L14:N14)</f>
        <v/>
      </c>
    </row>
    <row r="15">
      <c r="A15" s="5" t="inlineStr">
        <is>
          <t>Parking</t>
        </is>
      </c>
      <c r="B15" s="5" t="inlineStr">
        <is>
          <t>Other Income</t>
        </is>
      </c>
      <c r="C15" s="6" t="n">
        <v>3096.5</v>
      </c>
      <c r="D15" s="6" t="n">
        <v>3108.43</v>
      </c>
      <c r="E15" s="6" t="n">
        <v>3123.5</v>
      </c>
      <c r="F15" s="6" t="n">
        <v>3135.5</v>
      </c>
      <c r="G15" s="6" t="n">
        <v>3131.87</v>
      </c>
      <c r="H15" s="6" t="n">
        <v>3128.19</v>
      </c>
      <c r="I15" s="6" t="n">
        <v>3149.65</v>
      </c>
      <c r="J15" s="6" t="n">
        <v>3164.87</v>
      </c>
      <c r="K15" s="6" t="n">
        <v>3180.13</v>
      </c>
      <c r="L15" s="6" t="n">
        <v>3195.45</v>
      </c>
      <c r="M15" s="6" t="n">
        <v>3210.81</v>
      </c>
      <c r="N15" s="6" t="n">
        <v>3226.21</v>
      </c>
      <c r="O15" s="6">
        <f>SUM(C15:N15)</f>
        <v/>
      </c>
      <c r="P15" s="6">
        <f>SUM(L15:N15)</f>
        <v/>
      </c>
    </row>
    <row r="16">
      <c r="A16" s="5" t="inlineStr">
        <is>
          <t>Late Fees</t>
        </is>
      </c>
      <c r="B16" s="5" t="inlineStr">
        <is>
          <t>Other Income</t>
        </is>
      </c>
      <c r="C16" s="6" t="n">
        <v>1429.75</v>
      </c>
      <c r="D16" s="6" t="n">
        <v>1454.26</v>
      </c>
      <c r="E16" s="6" t="n">
        <v>1451.25</v>
      </c>
      <c r="F16" s="6" t="n">
        <v>1475.8</v>
      </c>
      <c r="G16" s="6" t="n">
        <v>1464.04</v>
      </c>
      <c r="H16" s="6" t="n">
        <v>1452.25</v>
      </c>
      <c r="I16" s="6" t="n">
        <v>1481.22</v>
      </c>
      <c r="J16" s="6" t="n">
        <v>1478.28</v>
      </c>
      <c r="K16" s="6" t="n">
        <v>1475.35</v>
      </c>
      <c r="L16" s="6" t="n">
        <v>1501.45</v>
      </c>
      <c r="M16" s="6" t="n">
        <v>1498.57</v>
      </c>
      <c r="N16" s="6" t="n">
        <v>1524.71</v>
      </c>
      <c r="O16" s="6">
        <f>SUM(C16:N16)</f>
        <v/>
      </c>
      <c r="P16" s="6">
        <f>SUM(L16:N16)</f>
        <v/>
      </c>
    </row>
    <row r="17">
      <c r="A17" s="5" t="inlineStr">
        <is>
          <t>Application Fees</t>
        </is>
      </c>
      <c r="B17" s="5" t="inlineStr">
        <is>
          <t>Other Income</t>
        </is>
      </c>
      <c r="C17" s="6" t="n">
        <v>1179.1</v>
      </c>
      <c r="D17" s="6" t="n">
        <v>1172.4</v>
      </c>
      <c r="E17" s="6" t="n">
        <v>1189.9</v>
      </c>
      <c r="F17" s="6" t="n">
        <v>1183.23</v>
      </c>
      <c r="G17" s="6" t="n">
        <v>1193.61</v>
      </c>
      <c r="H17" s="6" t="n">
        <v>1180.97</v>
      </c>
      <c r="I17" s="6" t="n">
        <v>1200.9</v>
      </c>
      <c r="J17" s="6" t="n">
        <v>1195.45</v>
      </c>
      <c r="K17" s="6" t="n">
        <v>1213.03</v>
      </c>
      <c r="L17" s="6" t="n">
        <v>1207.62</v>
      </c>
      <c r="M17" s="6" t="n">
        <v>1225.22</v>
      </c>
      <c r="N17" s="6" t="n">
        <v>1242.85</v>
      </c>
      <c r="O17" s="6">
        <f>SUM(C17:N17)</f>
        <v/>
      </c>
      <c r="P17" s="6">
        <f>SUM(L17:N17)</f>
        <v/>
      </c>
    </row>
    <row r="18">
      <c r="A18" s="5" t="inlineStr">
        <is>
          <t>Storage</t>
        </is>
      </c>
      <c r="B18" s="5" t="inlineStr">
        <is>
          <t>Other Income</t>
        </is>
      </c>
      <c r="C18" s="6" t="n">
        <v>763.2</v>
      </c>
      <c r="D18" s="6" t="n">
        <v>752.61</v>
      </c>
      <c r="E18" s="6" t="n">
        <v>757.8</v>
      </c>
      <c r="F18" s="6" t="n">
        <v>762.23</v>
      </c>
      <c r="G18" s="6" t="n">
        <v>762.83</v>
      </c>
      <c r="H18" s="6" t="n">
        <v>763.42</v>
      </c>
      <c r="I18" s="6" t="n">
        <v>770.17</v>
      </c>
      <c r="J18" s="6" t="n">
        <v>775.39</v>
      </c>
      <c r="K18" s="6" t="n">
        <v>780.63</v>
      </c>
      <c r="L18" s="6" t="n">
        <v>785.87</v>
      </c>
      <c r="M18" s="6" t="n">
        <v>791.13</v>
      </c>
      <c r="N18" s="6" t="n">
        <v>796.39</v>
      </c>
      <c r="O18" s="6">
        <f>SUM(C18:N18)</f>
        <v/>
      </c>
      <c r="P18" s="6">
        <f>SUM(L18:N18)</f>
        <v/>
      </c>
    </row>
    <row r="19">
      <c r="A19" s="5" t="inlineStr">
        <is>
          <t>Miscellaneous Income</t>
        </is>
      </c>
      <c r="B19" s="5" t="inlineStr">
        <is>
          <t>Other Income</t>
        </is>
      </c>
      <c r="C19" s="6" t="n">
        <v>417.9</v>
      </c>
      <c r="D19" s="6" t="n">
        <v>417.79</v>
      </c>
      <c r="E19" s="6" t="n">
        <v>418.1</v>
      </c>
      <c r="F19" s="6" t="n">
        <v>427</v>
      </c>
      <c r="G19" s="6" t="n">
        <v>424.78</v>
      </c>
      <c r="H19" s="6" t="n">
        <v>422.55</v>
      </c>
      <c r="I19" s="6" t="n">
        <v>423.73</v>
      </c>
      <c r="J19" s="6" t="n">
        <v>433.06</v>
      </c>
      <c r="K19" s="6" t="n">
        <v>433.4</v>
      </c>
      <c r="L19" s="6" t="n">
        <v>433.74</v>
      </c>
      <c r="M19" s="6" t="n">
        <v>434.1</v>
      </c>
      <c r="N19" s="6" t="n">
        <v>434.45</v>
      </c>
      <c r="O19" s="6">
        <f>SUM(C19:N19)</f>
        <v/>
      </c>
      <c r="P19" s="6">
        <f>SUM(L19:N19)</f>
        <v/>
      </c>
    </row>
    <row r="20">
      <c r="A20" s="5" t="inlineStr">
        <is>
          <t>Administrative</t>
        </is>
      </c>
      <c r="B20" s="5" t="inlineStr">
        <is>
          <t>General and Administrative</t>
        </is>
      </c>
      <c r="C20" s="6" t="n">
        <v>5193</v>
      </c>
      <c r="D20" s="6" t="n">
        <v>5172.36</v>
      </c>
      <c r="E20" s="6" t="n">
        <v>5262</v>
      </c>
      <c r="F20" s="6" t="n">
        <v>5241.48</v>
      </c>
      <c r="G20" s="6" t="n">
        <v>5194.75</v>
      </c>
      <c r="H20" s="6" t="n">
        <v>5252.94</v>
      </c>
      <c r="I20" s="6" t="n">
        <v>5248.28</v>
      </c>
      <c r="J20" s="6" t="n">
        <v>5338.16</v>
      </c>
      <c r="K20" s="6" t="n">
        <v>5323.13</v>
      </c>
      <c r="L20" s="6" t="n">
        <v>5413.17</v>
      </c>
      <c r="M20" s="6" t="n">
        <v>5398.29</v>
      </c>
      <c r="N20" s="6" t="n">
        <v>5383.49</v>
      </c>
      <c r="O20" s="6">
        <f>SUM(C20:N20)</f>
        <v/>
      </c>
      <c r="P20" s="6">
        <f>SUM(L20:N20)</f>
        <v/>
      </c>
    </row>
    <row r="21">
      <c r="A21" s="5" t="inlineStr">
        <is>
          <t>Marketing &amp; Locator Fees</t>
        </is>
      </c>
      <c r="B21" s="5" t="inlineStr">
        <is>
          <t>Leasing and Marketing</t>
        </is>
      </c>
      <c r="C21" s="6" t="n">
        <v>3941</v>
      </c>
      <c r="D21" s="6" t="n">
        <v>4028.97</v>
      </c>
      <c r="E21" s="6" t="n">
        <v>4040</v>
      </c>
      <c r="F21" s="6" t="n">
        <v>4047.06</v>
      </c>
      <c r="G21" s="6" t="n">
        <v>4033.96</v>
      </c>
      <c r="H21" s="6" t="n">
        <v>4020.8</v>
      </c>
      <c r="I21" s="6" t="n">
        <v>4040.06</v>
      </c>
      <c r="J21" s="6" t="n">
        <v>4051.28</v>
      </c>
      <c r="K21" s="6" t="n">
        <v>4143.56</v>
      </c>
      <c r="L21" s="6" t="n">
        <v>4154.9</v>
      </c>
      <c r="M21" s="6" t="n">
        <v>4166.3</v>
      </c>
      <c r="N21" s="6" t="n">
        <v>4177.76</v>
      </c>
      <c r="O21" s="6">
        <f>SUM(C21:N21)</f>
        <v/>
      </c>
      <c r="P21" s="6">
        <f>SUM(L21:N21)</f>
        <v/>
      </c>
    </row>
    <row r="22">
      <c r="A22" s="5" t="inlineStr">
        <is>
          <t>On-site Payroll</t>
        </is>
      </c>
      <c r="B22" s="5" t="inlineStr">
        <is>
          <t>Payroll</t>
        </is>
      </c>
      <c r="C22" s="6" t="n">
        <v>20734</v>
      </c>
      <c r="D22" s="6" t="n">
        <v>20856.34</v>
      </c>
      <c r="E22" s="6" t="n">
        <v>21000</v>
      </c>
      <c r="F22" s="6" t="n">
        <v>21122.82</v>
      </c>
      <c r="G22" s="6" t="n">
        <v>21139.79</v>
      </c>
      <c r="H22" s="6" t="n">
        <v>21156.45</v>
      </c>
      <c r="I22" s="6" t="n">
        <v>21343.31</v>
      </c>
      <c r="J22" s="6" t="n">
        <v>21487.97</v>
      </c>
      <c r="K22" s="6" t="n">
        <v>21632.94</v>
      </c>
      <c r="L22" s="6" t="n">
        <v>21778.22</v>
      </c>
      <c r="M22" s="6" t="n">
        <v>21923.82</v>
      </c>
      <c r="N22" s="6" t="n">
        <v>22069.74</v>
      </c>
      <c r="O22" s="6">
        <f>SUM(C22:N22)</f>
        <v/>
      </c>
      <c r="P22" s="6">
        <f>SUM(L22:N22)</f>
        <v/>
      </c>
    </row>
    <row r="23">
      <c r="A23" s="5" t="inlineStr">
        <is>
          <t>Insurance</t>
        </is>
      </c>
      <c r="B23" s="5" t="inlineStr">
        <is>
          <t>Insurance</t>
        </is>
      </c>
      <c r="C23" s="6" t="n">
        <v>11361.5</v>
      </c>
      <c r="D23" s="6" t="n">
        <v>11390.16</v>
      </c>
      <c r="E23" s="6" t="n">
        <v>11661.5</v>
      </c>
      <c r="F23" s="6" t="n">
        <v>11690.42</v>
      </c>
      <c r="G23" s="6" t="n">
        <v>11661.39</v>
      </c>
      <c r="H23" s="6" t="n">
        <v>11632.17</v>
      </c>
      <c r="I23" s="6" t="n">
        <v>11696.17</v>
      </c>
      <c r="J23" s="6" t="n">
        <v>11737.06</v>
      </c>
      <c r="K23" s="6" t="n">
        <v>11778.11</v>
      </c>
      <c r="L23" s="6" t="n">
        <v>11819.34</v>
      </c>
      <c r="M23" s="6" t="n">
        <v>11860.74</v>
      </c>
      <c r="N23" s="6" t="n">
        <v>11902.31</v>
      </c>
      <c r="O23" s="6">
        <f>SUM(C23:N23)</f>
        <v/>
      </c>
      <c r="P23" s="6">
        <f>SUM(L23:N23)</f>
        <v/>
      </c>
    </row>
    <row r="24">
      <c r="A24" s="5" t="inlineStr">
        <is>
          <t>Real Estate Taxes</t>
        </is>
      </c>
      <c r="B24" s="5" t="inlineStr">
        <is>
          <t>Property Taxes</t>
        </is>
      </c>
      <c r="C24" s="6" t="n">
        <v>41250</v>
      </c>
      <c r="D24" s="6" t="n">
        <v>41346.09</v>
      </c>
      <c r="E24" s="6" t="n">
        <v>41484</v>
      </c>
      <c r="F24" s="6" t="n">
        <v>41581.02</v>
      </c>
      <c r="G24" s="6" t="n">
        <v>41470.39</v>
      </c>
      <c r="H24" s="6" t="n">
        <v>41359.14</v>
      </c>
      <c r="I24" s="6" t="n">
        <v>41581.82</v>
      </c>
      <c r="J24" s="6" t="n">
        <v>41721.68</v>
      </c>
      <c r="K24" s="6" t="n">
        <v>42687.17</v>
      </c>
      <c r="L24" s="6" t="n">
        <v>42828.27</v>
      </c>
      <c r="M24" s="6" t="n">
        <v>42969.99</v>
      </c>
      <c r="N24" s="6" t="n">
        <v>43112.33</v>
      </c>
      <c r="O24" s="6">
        <f>SUM(C24:N24)</f>
        <v/>
      </c>
      <c r="P24" s="6">
        <f>SUM(L24:N24)</f>
        <v/>
      </c>
    </row>
    <row r="25">
      <c r="A25" s="5" t="inlineStr">
        <is>
          <t>Legal &amp; Audit</t>
        </is>
      </c>
      <c r="B25" s="5" t="inlineStr">
        <is>
          <t>Legal and Professional</t>
        </is>
      </c>
      <c r="C25" s="6" t="n">
        <v>1875.5</v>
      </c>
      <c r="D25" s="6" t="n">
        <v>1900.04</v>
      </c>
      <c r="E25" s="6" t="n">
        <v>1926.5</v>
      </c>
      <c r="F25" s="6" t="n">
        <v>1912.08</v>
      </c>
      <c r="G25" s="6" t="n">
        <v>1927.08</v>
      </c>
      <c r="H25" s="6" t="n">
        <v>1903.06</v>
      </c>
      <c r="I25" s="6" t="n">
        <v>1933.43</v>
      </c>
      <c r="J25" s="6" t="n">
        <v>1959.98</v>
      </c>
      <c r="K25" s="6" t="n">
        <v>1947.57</v>
      </c>
      <c r="L25" s="6" t="n">
        <v>1974.18</v>
      </c>
      <c r="M25" s="6" t="n">
        <v>1961.82</v>
      </c>
      <c r="N25" s="6" t="n">
        <v>1988.49</v>
      </c>
      <c r="O25" s="6">
        <f>SUM(C25:N25)</f>
        <v/>
      </c>
      <c r="P25" s="6">
        <f>SUM(L25:N25)</f>
        <v/>
      </c>
    </row>
    <row r="26">
      <c r="A26" s="5" t="inlineStr">
        <is>
          <t>Management Fee</t>
        </is>
      </c>
      <c r="B26" s="5" t="inlineStr">
        <is>
          <t>Management Fee</t>
        </is>
      </c>
      <c r="C26" s="6" t="n">
        <v>10759.5</v>
      </c>
      <c r="D26" s="6" t="n">
        <v>10860.47</v>
      </c>
      <c r="E26" s="6" t="n">
        <v>10972.5</v>
      </c>
      <c r="F26" s="6" t="n">
        <v>11073.71</v>
      </c>
      <c r="G26" s="6" t="n">
        <v>10900.99</v>
      </c>
      <c r="H26" s="6" t="n">
        <v>10947.1</v>
      </c>
      <c r="I26" s="6" t="n">
        <v>11081.56</v>
      </c>
      <c r="J26" s="6" t="n">
        <v>11194.11</v>
      </c>
      <c r="K26" s="6" t="n">
        <v>11087.83</v>
      </c>
      <c r="L26" s="6" t="n">
        <v>11200.7</v>
      </c>
      <c r="M26" s="6" t="n">
        <v>11313.74</v>
      </c>
      <c r="N26" s="6" t="n">
        <v>11426.95</v>
      </c>
      <c r="O26" s="6">
        <f>SUM(C26:N26)</f>
        <v/>
      </c>
      <c r="P26" s="6">
        <f>SUM(L26:N26)</f>
        <v/>
      </c>
    </row>
    <row r="27">
      <c r="A27" s="5" t="inlineStr">
        <is>
          <t>Landscaping &amp; Grounds</t>
        </is>
      </c>
      <c r="B27" s="5" t="inlineStr">
        <is>
          <t>Landscaping</t>
        </is>
      </c>
      <c r="C27" s="6" t="n">
        <v>3384</v>
      </c>
      <c r="D27" s="6" t="n">
        <v>3364.27</v>
      </c>
      <c r="E27" s="6" t="n">
        <v>3417</v>
      </c>
      <c r="F27" s="6" t="n">
        <v>3466.35</v>
      </c>
      <c r="G27" s="6" t="n">
        <v>3429.57</v>
      </c>
      <c r="H27" s="6" t="n">
        <v>3461.73</v>
      </c>
      <c r="I27" s="6" t="n">
        <v>3452.45</v>
      </c>
      <c r="J27" s="6" t="n">
        <v>3505.34</v>
      </c>
      <c r="K27" s="6" t="n">
        <v>3489.28</v>
      </c>
      <c r="L27" s="6" t="n">
        <v>3542.26</v>
      </c>
      <c r="M27" s="6" t="n">
        <v>3526.3</v>
      </c>
      <c r="N27" s="6" t="n">
        <v>3579.4</v>
      </c>
      <c r="O27" s="6">
        <f>SUM(C27:N27)</f>
        <v/>
      </c>
      <c r="P27" s="6">
        <f>SUM(L27:N27)</f>
        <v/>
      </c>
    </row>
    <row r="28">
      <c r="A28" s="5" t="inlineStr">
        <is>
          <t>R&amp;M — Interior</t>
        </is>
      </c>
      <c r="B28" s="5" t="inlineStr">
        <is>
          <t>Repairs and Maintenance</t>
        </is>
      </c>
      <c r="C28" s="6" t="n">
        <v>7216</v>
      </c>
      <c r="D28" s="6" t="n">
        <v>7179.35</v>
      </c>
      <c r="E28" s="6" t="n">
        <v>7295</v>
      </c>
      <c r="F28" s="6" t="n">
        <v>7258.51</v>
      </c>
      <c r="G28" s="6" t="n">
        <v>7330.73</v>
      </c>
      <c r="H28" s="6" t="n">
        <v>7257.84</v>
      </c>
      <c r="I28" s="6" t="n">
        <v>7243.31</v>
      </c>
      <c r="J28" s="6" t="n">
        <v>7359.3</v>
      </c>
      <c r="K28" s="6" t="n">
        <v>7330.41</v>
      </c>
      <c r="L28" s="6" t="n">
        <v>7446.62</v>
      </c>
      <c r="M28" s="6" t="n">
        <v>7417.94</v>
      </c>
      <c r="N28" s="6" t="n">
        <v>7534.37</v>
      </c>
      <c r="O28" s="6">
        <f>SUM(C28:N28)</f>
        <v/>
      </c>
      <c r="P28" s="6">
        <f>SUM(L28:N28)</f>
        <v/>
      </c>
    </row>
    <row r="29">
      <c r="A29" s="5" t="inlineStr">
        <is>
          <t>R&amp;M — Exterior</t>
        </is>
      </c>
      <c r="B29" s="5" t="inlineStr">
        <is>
          <t>Repairs and Maintenance</t>
        </is>
      </c>
      <c r="C29" s="6" t="n">
        <v>3917.5</v>
      </c>
      <c r="D29" s="6" t="n">
        <v>3909.02</v>
      </c>
      <c r="E29" s="6" t="n">
        <v>3904.5</v>
      </c>
      <c r="F29" s="6" t="n">
        <v>3975.11</v>
      </c>
      <c r="G29" s="6" t="n">
        <v>3947.06</v>
      </c>
      <c r="H29" s="6" t="n">
        <v>3918.95</v>
      </c>
      <c r="I29" s="6" t="n">
        <v>4001.46</v>
      </c>
      <c r="J29" s="6" t="n">
        <v>3997.12</v>
      </c>
      <c r="K29" s="6" t="n">
        <v>3992.85</v>
      </c>
      <c r="L29" s="6" t="n">
        <v>3988.63</v>
      </c>
      <c r="M29" s="6" t="n">
        <v>4063.47</v>
      </c>
      <c r="N29" s="6" t="n">
        <v>4059.37</v>
      </c>
      <c r="O29" s="6">
        <f>SUM(C29:N29)</f>
        <v/>
      </c>
      <c r="P29" s="6">
        <f>SUM(L29:N29)</f>
        <v/>
      </c>
    </row>
    <row r="30">
      <c r="A30" s="5" t="inlineStr">
        <is>
          <t>Unit Turns</t>
        </is>
      </c>
      <c r="B30" s="5" t="inlineStr">
        <is>
          <t>Unit Turns</t>
        </is>
      </c>
      <c r="C30" s="6" t="n">
        <v>5552</v>
      </c>
      <c r="D30" s="6" t="n">
        <v>5572.16</v>
      </c>
      <c r="E30" s="6" t="n">
        <v>5598</v>
      </c>
      <c r="F30" s="6" t="n">
        <v>5618.28</v>
      </c>
      <c r="G30" s="6" t="n">
        <v>5610.34</v>
      </c>
      <c r="H30" s="6" t="n">
        <v>5602.32</v>
      </c>
      <c r="I30" s="6" t="n">
        <v>5639.68</v>
      </c>
      <c r="J30" s="6" t="n">
        <v>5665.79</v>
      </c>
      <c r="K30" s="6" t="n">
        <v>5804.98</v>
      </c>
      <c r="L30" s="6" t="n">
        <v>5831.26</v>
      </c>
      <c r="M30" s="6" t="n">
        <v>5857.62</v>
      </c>
      <c r="N30" s="6" t="n">
        <v>5884.06</v>
      </c>
      <c r="O30" s="6">
        <f>SUM(C30:N30)</f>
        <v/>
      </c>
      <c r="P30" s="6">
        <f>SUM(L30:N30)</f>
        <v/>
      </c>
    </row>
    <row r="31">
      <c r="A31" s="5" t="inlineStr">
        <is>
          <t>Utilities — Water/Sewer</t>
        </is>
      </c>
      <c r="B31" s="5" t="inlineStr">
        <is>
          <t>Utilities</t>
        </is>
      </c>
      <c r="C31" s="6" t="n">
        <v>9260</v>
      </c>
      <c r="D31" s="6" t="n">
        <v>9426.23</v>
      </c>
      <c r="E31" s="6" t="n">
        <v>9413</v>
      </c>
      <c r="F31" s="6" t="n">
        <v>9579.440000000001</v>
      </c>
      <c r="G31" s="6" t="n">
        <v>9509.51</v>
      </c>
      <c r="H31" s="6" t="n">
        <v>9439.43</v>
      </c>
      <c r="I31" s="6" t="n">
        <v>9634.540000000001</v>
      </c>
      <c r="J31" s="6" t="n">
        <v>9621.76</v>
      </c>
      <c r="K31" s="6" t="n">
        <v>9609.120000000001</v>
      </c>
      <c r="L31" s="6" t="n">
        <v>9785.610000000001</v>
      </c>
      <c r="M31" s="6" t="n">
        <v>9773.25</v>
      </c>
      <c r="N31" s="6" t="n">
        <v>9761.040000000001</v>
      </c>
      <c r="O31" s="6">
        <f>SUM(C31:N31)</f>
        <v/>
      </c>
      <c r="P31" s="6">
        <f>SUM(L31:N31)</f>
        <v/>
      </c>
    </row>
    <row r="32">
      <c r="A32" s="5" t="inlineStr">
        <is>
          <t>Utilities — Electric (common)</t>
        </is>
      </c>
      <c r="B32" s="5" t="inlineStr">
        <is>
          <t>Utilities</t>
        </is>
      </c>
      <c r="C32" s="6" t="n">
        <v>4215</v>
      </c>
      <c r="D32" s="6" t="n">
        <v>4234.87</v>
      </c>
      <c r="E32" s="6" t="n">
        <v>4259</v>
      </c>
      <c r="F32" s="6" t="n">
        <v>4278.96</v>
      </c>
      <c r="G32" s="6" t="n">
        <v>4277.76</v>
      </c>
      <c r="H32" s="6" t="n">
        <v>4276.49</v>
      </c>
      <c r="I32" s="6" t="n">
        <v>4309.26</v>
      </c>
      <c r="J32" s="6" t="n">
        <v>4248.59</v>
      </c>
      <c r="K32" s="6" t="n">
        <v>4272.99</v>
      </c>
      <c r="L32" s="6" t="n">
        <v>4297.44</v>
      </c>
      <c r="M32" s="6" t="n">
        <v>4321.96</v>
      </c>
      <c r="N32" s="6" t="n">
        <v>4346.55</v>
      </c>
      <c r="O32" s="6">
        <f>SUM(C32:N32)</f>
        <v/>
      </c>
      <c r="P32" s="6">
        <f>SUM(L32:N32)</f>
        <v/>
      </c>
    </row>
    <row r="33">
      <c r="A33" s="5" t="inlineStr">
        <is>
          <t>Utilities — Trash</t>
        </is>
      </c>
      <c r="B33" s="5" t="inlineStr">
        <is>
          <t>Utilities</t>
        </is>
      </c>
      <c r="C33" s="6" t="n">
        <v>4100.5</v>
      </c>
      <c r="D33" s="6" t="n">
        <v>4097.92</v>
      </c>
      <c r="E33" s="6" t="n">
        <v>4099.5</v>
      </c>
      <c r="F33" s="6" t="n">
        <v>4180.01</v>
      </c>
      <c r="G33" s="6" t="n">
        <v>4156.86</v>
      </c>
      <c r="H33" s="6" t="n">
        <v>4133.64</v>
      </c>
      <c r="I33" s="6" t="n">
        <v>4143.66</v>
      </c>
      <c r="J33" s="6" t="n">
        <v>4228.44</v>
      </c>
      <c r="K33" s="6" t="n">
        <v>4230.27</v>
      </c>
      <c r="L33" s="6" t="n">
        <v>4232.17</v>
      </c>
      <c r="M33" s="6" t="n">
        <v>4234.13</v>
      </c>
      <c r="N33" s="6" t="n">
        <v>4319.15</v>
      </c>
      <c r="O33" s="6">
        <f>SUM(C33:N33)</f>
        <v/>
      </c>
      <c r="P33" s="6">
        <f>SUM(L33:N33)</f>
        <v/>
      </c>
    </row>
    <row r="34">
      <c r="A34" s="5" t="inlineStr">
        <is>
          <t>Utilities — Gas</t>
        </is>
      </c>
      <c r="B34" s="5" t="inlineStr">
        <is>
          <t>Utilities</t>
        </is>
      </c>
      <c r="C34" s="6" t="n">
        <v>2300.5</v>
      </c>
      <c r="D34" s="6" t="n">
        <v>2292.83</v>
      </c>
      <c r="E34" s="6" t="n">
        <v>2334.5</v>
      </c>
      <c r="F34" s="6" t="n">
        <v>2326.88</v>
      </c>
      <c r="G34" s="6" t="n">
        <v>2307.68</v>
      </c>
      <c r="H34" s="6" t="n">
        <v>2335.43</v>
      </c>
      <c r="I34" s="6" t="n">
        <v>2334.83</v>
      </c>
      <c r="J34" s="6" t="n">
        <v>2329.61</v>
      </c>
      <c r="K34" s="6" t="n">
        <v>2371.42</v>
      </c>
      <c r="L34" s="6" t="n">
        <v>2366.27</v>
      </c>
      <c r="M34" s="6" t="n">
        <v>2408.15</v>
      </c>
      <c r="N34" s="6" t="n">
        <v>2403.06</v>
      </c>
      <c r="O34" s="6">
        <f>SUM(C34:N34)</f>
        <v/>
      </c>
      <c r="P34" s="6">
        <f>SUM(L34:N34)</f>
        <v/>
      </c>
    </row>
    <row r="35">
      <c r="A35" s="5" t="inlineStr">
        <is>
          <t>Utilities — Cable/Internet</t>
        </is>
      </c>
      <c r="B35" s="5" t="inlineStr">
        <is>
          <t>Utilities</t>
        </is>
      </c>
      <c r="C35" s="6" t="n">
        <v>1584</v>
      </c>
      <c r="D35" s="6" t="n">
        <v>1601.19</v>
      </c>
      <c r="E35" s="6" t="n">
        <v>1620</v>
      </c>
      <c r="F35" s="6" t="n">
        <v>1604.22</v>
      </c>
      <c r="G35" s="6" t="n">
        <v>1613.38</v>
      </c>
      <c r="H35" s="6" t="n">
        <v>1622.52</v>
      </c>
      <c r="I35" s="6" t="n">
        <v>1611.62</v>
      </c>
      <c r="J35" s="6" t="n">
        <v>1630.51</v>
      </c>
      <c r="K35" s="6" t="n">
        <v>1649.42</v>
      </c>
      <c r="L35" s="6" t="n">
        <v>1668.36</v>
      </c>
      <c r="M35" s="6" t="n">
        <v>1654.32</v>
      </c>
      <c r="N35" s="6" t="n">
        <v>1673.3</v>
      </c>
      <c r="O35" s="6">
        <f>SUM(C35:N35)</f>
        <v/>
      </c>
      <c r="P35" s="6">
        <f>SUM(L35:N35)</f>
        <v/>
      </c>
    </row>
    <row r="36">
      <c r="A36" s="5" t="inlineStr">
        <is>
          <t>Expense Adjustments</t>
        </is>
      </c>
      <c r="B36" s="5" t="inlineStr">
        <is>
          <t>Expense Adjustments</t>
        </is>
      </c>
      <c r="C36" s="6" t="n">
        <v>889.5</v>
      </c>
      <c r="D36" s="6" t="n">
        <v>899.54</v>
      </c>
      <c r="E36" s="6" t="n">
        <v>910.5</v>
      </c>
      <c r="F36" s="6" t="n">
        <v>901.5599999999999</v>
      </c>
      <c r="G36" s="6" t="n">
        <v>907.09</v>
      </c>
      <c r="H36" s="6" t="n">
        <v>912.6</v>
      </c>
      <c r="I36" s="6" t="n">
        <v>906.41</v>
      </c>
      <c r="J36" s="6" t="n">
        <v>917.41</v>
      </c>
      <c r="K36" s="6" t="n">
        <v>928.4299999999999</v>
      </c>
      <c r="L36" s="6" t="n">
        <v>920.45</v>
      </c>
      <c r="M36" s="6" t="n">
        <v>931.49</v>
      </c>
      <c r="N36" s="6" t="n">
        <v>942.55</v>
      </c>
      <c r="O36" s="6">
        <f>SUM(C36:N36)</f>
        <v/>
      </c>
      <c r="P36" s="6">
        <f>SUM(L36:N36)</f>
        <v/>
      </c>
    </row>
    <row r="37">
      <c r="A37" s="7" t="inlineStr">
        <is>
          <t>Total Revenue (per statement)</t>
        </is>
      </c>
      <c r="B37" s="8" t="n"/>
      <c r="C37" s="9" t="n">
        <v>312566.16</v>
      </c>
      <c r="D37" s="9" t="n">
        <v>312349.31</v>
      </c>
      <c r="E37" s="9" t="n">
        <v>312999.7</v>
      </c>
      <c r="F37" s="9" t="n">
        <v>313120.89</v>
      </c>
      <c r="G37" s="9" t="n">
        <v>317639.79</v>
      </c>
      <c r="H37" s="9" t="n">
        <v>316401.98</v>
      </c>
      <c r="I37" s="9" t="n">
        <v>317625.48</v>
      </c>
      <c r="J37" s="9" t="n">
        <v>317755.69</v>
      </c>
      <c r="K37" s="9" t="n">
        <v>318174.62</v>
      </c>
      <c r="L37" s="9" t="n">
        <v>324840.21</v>
      </c>
      <c r="M37" s="9" t="n">
        <v>325465.51</v>
      </c>
      <c r="N37" s="9" t="n">
        <v>325964.5</v>
      </c>
      <c r="O37" s="9">
        <f>SUM(C37:N37)</f>
        <v/>
      </c>
      <c r="P37" s="9">
        <f>SUM(L37:N37)</f>
        <v/>
      </c>
    </row>
    <row r="39">
      <c r="A39" s="10" t="inlineStr">
        <is>
          <t>Monthly revenue (computed)</t>
        </is>
      </c>
      <c r="B39" s="2" t="inlineStr">
        <is>
          <t>derived</t>
        </is>
      </c>
      <c r="C39" s="11">
        <f>IF(COUNTIF($B$6:$B$37,"Gross Scheduled Rent")&gt;0,SUMIF($B$6:$B$37,"Gross Scheduled Rent",C$6:C$37),SUMIF($B$6:$B$37,"Gross Potential Rent",C$6:C$37)+SUMIF($B$6:$B$37,"Gain / (Loss) to Lease",C$6:C$37))+SUMIF($B$6:$B$37,"Vacancy",C$6:C$37)+SUMIF($B$6:$B$37,"Concessions",C$6:C$37)+SUMIF($B$6:$B$37,"Non-Revenue Units",C$6:C$37)+SUMIF($B$6:$B$37,"Delinquency",C$6:C$37)+SUMIF($B$6:$B$37,"Utility Reimbursements",C$6:C$37)+SUMIF($B$6:$B$37,"Other Income",C$6:C$37)+SUMIF($B$6:$B$37,"Revenue Adjustments",C$6:C$37)</f>
        <v/>
      </c>
      <c r="D39" s="11">
        <f>IF(COUNTIF($B$6:$B$37,"Gross Scheduled Rent")&gt;0,SUMIF($B$6:$B$37,"Gross Scheduled Rent",D$6:D$37),SUMIF($B$6:$B$37,"Gross Potential Rent",D$6:D$37)+SUMIF($B$6:$B$37,"Gain / (Loss) to Lease",D$6:D$37))+SUMIF($B$6:$B$37,"Vacancy",D$6:D$37)+SUMIF($B$6:$B$37,"Concessions",D$6:D$37)+SUMIF($B$6:$B$37,"Non-Revenue Units",D$6:D$37)+SUMIF($B$6:$B$37,"Delinquency",D$6:D$37)+SUMIF($B$6:$B$37,"Utility Reimbursements",D$6:D$37)+SUMIF($B$6:$B$37,"Other Income",D$6:D$37)+SUMIF($B$6:$B$37,"Revenue Adjustments",D$6:D$37)</f>
        <v/>
      </c>
      <c r="E39" s="11">
        <f>IF(COUNTIF($B$6:$B$37,"Gross Scheduled Rent")&gt;0,SUMIF($B$6:$B$37,"Gross Scheduled Rent",E$6:E$37),SUMIF($B$6:$B$37,"Gross Potential Rent",E$6:E$37)+SUMIF($B$6:$B$37,"Gain / (Loss) to Lease",E$6:E$37))+SUMIF($B$6:$B$37,"Vacancy",E$6:E$37)+SUMIF($B$6:$B$37,"Concessions",E$6:E$37)+SUMIF($B$6:$B$37,"Non-Revenue Units",E$6:E$37)+SUMIF($B$6:$B$37,"Delinquency",E$6:E$37)+SUMIF($B$6:$B$37,"Utility Reimbursements",E$6:E$37)+SUMIF($B$6:$B$37,"Other Income",E$6:E$37)+SUMIF($B$6:$B$37,"Revenue Adjustments",E$6:E$37)</f>
        <v/>
      </c>
      <c r="F39" s="11">
        <f>IF(COUNTIF($B$6:$B$37,"Gross Scheduled Rent")&gt;0,SUMIF($B$6:$B$37,"Gross Scheduled Rent",F$6:F$37),SUMIF($B$6:$B$37,"Gross Potential Rent",F$6:F$37)+SUMIF($B$6:$B$37,"Gain / (Loss) to Lease",F$6:F$37))+SUMIF($B$6:$B$37,"Vacancy",F$6:F$37)+SUMIF($B$6:$B$37,"Concessions",F$6:F$37)+SUMIF($B$6:$B$37,"Non-Revenue Units",F$6:F$37)+SUMIF($B$6:$B$37,"Delinquency",F$6:F$37)+SUMIF($B$6:$B$37,"Utility Reimbursements",F$6:F$37)+SUMIF($B$6:$B$37,"Other Income",F$6:F$37)+SUMIF($B$6:$B$37,"Revenue Adjustments",F$6:F$37)</f>
        <v/>
      </c>
      <c r="G39" s="11">
        <f>IF(COUNTIF($B$6:$B$37,"Gross Scheduled Rent")&gt;0,SUMIF($B$6:$B$37,"Gross Scheduled Rent",G$6:G$37),SUMIF($B$6:$B$37,"Gross Potential Rent",G$6:G$37)+SUMIF($B$6:$B$37,"Gain / (Loss) to Lease",G$6:G$37))+SUMIF($B$6:$B$37,"Vacancy",G$6:G$37)+SUMIF($B$6:$B$37,"Concessions",G$6:G$37)+SUMIF($B$6:$B$37,"Non-Revenue Units",G$6:G$37)+SUMIF($B$6:$B$37,"Delinquency",G$6:G$37)+SUMIF($B$6:$B$37,"Utility Reimbursements",G$6:G$37)+SUMIF($B$6:$B$37,"Other Income",G$6:G$37)+SUMIF($B$6:$B$37,"Revenue Adjustments",G$6:G$37)</f>
        <v/>
      </c>
      <c r="H39" s="11">
        <f>IF(COUNTIF($B$6:$B$37,"Gross Scheduled Rent")&gt;0,SUMIF($B$6:$B$37,"Gross Scheduled Rent",H$6:H$37),SUMIF($B$6:$B$37,"Gross Potential Rent",H$6:H$37)+SUMIF($B$6:$B$37,"Gain / (Loss) to Lease",H$6:H$37))+SUMIF($B$6:$B$37,"Vacancy",H$6:H$37)+SUMIF($B$6:$B$37,"Concessions",H$6:H$37)+SUMIF($B$6:$B$37,"Non-Revenue Units",H$6:H$37)+SUMIF($B$6:$B$37,"Delinquency",H$6:H$37)+SUMIF($B$6:$B$37,"Utility Reimbursements",H$6:H$37)+SUMIF($B$6:$B$37,"Other Income",H$6:H$37)+SUMIF($B$6:$B$37,"Revenue Adjustments",H$6:H$37)</f>
        <v/>
      </c>
      <c r="I39" s="11">
        <f>IF(COUNTIF($B$6:$B$37,"Gross Scheduled Rent")&gt;0,SUMIF($B$6:$B$37,"Gross Scheduled Rent",I$6:I$37),SUMIF($B$6:$B$37,"Gross Potential Rent",I$6:I$37)+SUMIF($B$6:$B$37,"Gain / (Loss) to Lease",I$6:I$37))+SUMIF($B$6:$B$37,"Vacancy",I$6:I$37)+SUMIF($B$6:$B$37,"Concessions",I$6:I$37)+SUMIF($B$6:$B$37,"Non-Revenue Units",I$6:I$37)+SUMIF($B$6:$B$37,"Delinquency",I$6:I$37)+SUMIF($B$6:$B$37,"Utility Reimbursements",I$6:I$37)+SUMIF($B$6:$B$37,"Other Income",I$6:I$37)+SUMIF($B$6:$B$37,"Revenue Adjustments",I$6:I$37)</f>
        <v/>
      </c>
      <c r="J39" s="11">
        <f>IF(COUNTIF($B$6:$B$37,"Gross Scheduled Rent")&gt;0,SUMIF($B$6:$B$37,"Gross Scheduled Rent",J$6:J$37),SUMIF($B$6:$B$37,"Gross Potential Rent",J$6:J$37)+SUMIF($B$6:$B$37,"Gain / (Loss) to Lease",J$6:J$37))+SUMIF($B$6:$B$37,"Vacancy",J$6:J$37)+SUMIF($B$6:$B$37,"Concessions",J$6:J$37)+SUMIF($B$6:$B$37,"Non-Revenue Units",J$6:J$37)+SUMIF($B$6:$B$37,"Delinquency",J$6:J$37)+SUMIF($B$6:$B$37,"Utility Reimbursements",J$6:J$37)+SUMIF($B$6:$B$37,"Other Income",J$6:J$37)+SUMIF($B$6:$B$37,"Revenue Adjustments",J$6:J$37)</f>
        <v/>
      </c>
      <c r="K39" s="11">
        <f>IF(COUNTIF($B$6:$B$37,"Gross Scheduled Rent")&gt;0,SUMIF($B$6:$B$37,"Gross Scheduled Rent",K$6:K$37),SUMIF($B$6:$B$37,"Gross Potential Rent",K$6:K$37)+SUMIF($B$6:$B$37,"Gain / (Loss) to Lease",K$6:K$37))+SUMIF($B$6:$B$37,"Vacancy",K$6:K$37)+SUMIF($B$6:$B$37,"Concessions",K$6:K$37)+SUMIF($B$6:$B$37,"Non-Revenue Units",K$6:K$37)+SUMIF($B$6:$B$37,"Delinquency",K$6:K$37)+SUMIF($B$6:$B$37,"Utility Reimbursements",K$6:K$37)+SUMIF($B$6:$B$37,"Other Income",K$6:K$37)+SUMIF($B$6:$B$37,"Revenue Adjustments",K$6:K$37)</f>
        <v/>
      </c>
      <c r="L39" s="11">
        <f>IF(COUNTIF($B$6:$B$37,"Gross Scheduled Rent")&gt;0,SUMIF($B$6:$B$37,"Gross Scheduled Rent",L$6:L$37),SUMIF($B$6:$B$37,"Gross Potential Rent",L$6:L$37)+SUMIF($B$6:$B$37,"Gain / (Loss) to Lease",L$6:L$37))+SUMIF($B$6:$B$37,"Vacancy",L$6:L$37)+SUMIF($B$6:$B$37,"Concessions",L$6:L$37)+SUMIF($B$6:$B$37,"Non-Revenue Units",L$6:L$37)+SUMIF($B$6:$B$37,"Delinquency",L$6:L$37)+SUMIF($B$6:$B$37,"Utility Reimbursements",L$6:L$37)+SUMIF($B$6:$B$37,"Other Income",L$6:L$37)+SUMIF($B$6:$B$37,"Revenue Adjustments",L$6:L$37)</f>
        <v/>
      </c>
      <c r="M39" s="11">
        <f>IF(COUNTIF($B$6:$B$37,"Gross Scheduled Rent")&gt;0,SUMIF($B$6:$B$37,"Gross Scheduled Rent",M$6:M$37),SUMIF($B$6:$B$37,"Gross Potential Rent",M$6:M$37)+SUMIF($B$6:$B$37,"Gain / (Loss) to Lease",M$6:M$37))+SUMIF($B$6:$B$37,"Vacancy",M$6:M$37)+SUMIF($B$6:$B$37,"Concessions",M$6:M$37)+SUMIF($B$6:$B$37,"Non-Revenue Units",M$6:M$37)+SUMIF($B$6:$B$37,"Delinquency",M$6:M$37)+SUMIF($B$6:$B$37,"Utility Reimbursements",M$6:M$37)+SUMIF($B$6:$B$37,"Other Income",M$6:M$37)+SUMIF($B$6:$B$37,"Revenue Adjustments",M$6:M$37)</f>
        <v/>
      </c>
      <c r="N39" s="11">
        <f>IF(COUNTIF($B$6:$B$37,"Gross Scheduled Rent")&gt;0,SUMIF($B$6:$B$37,"Gross Scheduled Rent",N$6:N$37),SUMIF($B$6:$B$37,"Gross Potential Rent",N$6:N$37)+SUMIF($B$6:$B$37,"Gain / (Loss) to Lease",N$6:N$37))+SUMIF($B$6:$B$37,"Vacancy",N$6:N$37)+SUMIF($B$6:$B$37,"Concessions",N$6:N$37)+SUMIF($B$6:$B$37,"Non-Revenue Units",N$6:N$37)+SUMIF($B$6:$B$37,"Delinquency",N$6:N$37)+SUMIF($B$6:$B$37,"Utility Reimbursements",N$6:N$37)+SUMIF($B$6:$B$37,"Other Income",N$6:N$37)+SUMIF($B$6:$B$37,"Revenue Adjustments",N$6:N$37)</f>
        <v/>
      </c>
      <c r="O39" s="11">
        <f>SUM(C39:N39)</f>
        <v/>
      </c>
      <c r="P39" s="11">
        <f>SUM(L39:N39)</f>
        <v/>
      </c>
    </row>
    <row r="40">
      <c r="A40" s="2" t="inlineStr">
        <is>
          <t>Revenue by month, built from the same category SUMIFs as the rollup. Gross scheduled rent falls back to gross potential rent plus gain/(loss) to lease where the statement did not print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8" customWidth="1" min="3" max="3"/>
    <col width="16" customWidth="1" min="4" max="4"/>
    <col width="14" customWidth="1" min="5" max="5"/>
  </cols>
  <sheetData>
    <row r="1">
      <c r="A1" s="1" t="inlineStr">
        <is>
          <t>P&amp;L summary</t>
        </is>
      </c>
    </row>
    <row r="2">
      <c r="A2" s="2" t="inlineStr">
        <is>
          <t>Fixture Park — as of 2026-06-30</t>
        </is>
      </c>
    </row>
    <row r="3">
      <c r="A3" s="2" t="inlineStr">
        <is>
          <t>Every category row is a SUMIF over the T-12 Data tab, so the arithmetic is auditable in the workbook rather than pasted in.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Line item</t>
        </is>
      </c>
      <c r="B5" s="4" t="inlineStr">
        <is>
          <t>T-12</t>
        </is>
      </c>
      <c r="C5" s="4" t="inlineStr">
        <is>
          <t>T-3 annualized</t>
        </is>
      </c>
      <c r="D5" s="4" t="inlineStr">
        <is>
          <t>Per unit (T-12)</t>
        </is>
      </c>
      <c r="E5" s="4" t="inlineStr">
        <is>
          <t>% of revenue</t>
        </is>
      </c>
    </row>
    <row r="6">
      <c r="A6" s="12" t="inlineStr">
        <is>
          <t>Gross Potential Rent</t>
        </is>
      </c>
      <c r="B6" s="13">
        <f>SUMIF('T-12 Data'!$B$6:$B$37,$A6,'T-12 Data'!$O$6:$O$37)</f>
        <v/>
      </c>
      <c r="C6" s="13">
        <f>SUMIF('T-12 Data'!$B$6:$B$37,$A6,'T-12 Data'!$P$6:$P$37)*4</f>
        <v/>
      </c>
      <c r="D6" s="13">
        <f>IFERROR(B6/180,"")</f>
        <v/>
      </c>
      <c r="E6" s="14">
        <f>IFERROR(B6/B16,"")</f>
        <v/>
      </c>
    </row>
    <row r="7">
      <c r="A7" s="12" t="inlineStr">
        <is>
          <t>Gain / (Loss) to Lease</t>
        </is>
      </c>
      <c r="B7" s="13">
        <f>SUMIF('T-12 Data'!$B$6:$B$37,$A7,'T-12 Data'!$O$6:$O$37)</f>
        <v/>
      </c>
      <c r="C7" s="13">
        <f>SUMIF('T-12 Data'!$B$6:$B$37,$A7,'T-12 Data'!$P$6:$P$37)*4</f>
        <v/>
      </c>
      <c r="D7" s="13">
        <f>IFERROR(B7/180,"")</f>
        <v/>
      </c>
      <c r="E7" s="14">
        <f>IFERROR(B7/B16,"")</f>
        <v/>
      </c>
    </row>
    <row r="8">
      <c r="A8" s="8" t="inlineStr">
        <is>
          <t>Gross Scheduled Rent</t>
        </is>
      </c>
      <c r="B8" s="9">
        <f>IF(COUNTIF('T-12 Data'!$B$6:$B$37,$A8)&gt;0,SUMIF('T-12 Data'!$B$6:$B$37,$A8,'T-12 Data'!$O$6:$O$37),B6+B7)</f>
        <v/>
      </c>
      <c r="C8" s="9">
        <f>IF(COUNTIF('T-12 Data'!$B$6:$B$37,$A8)&gt;0,SUMIF('T-12 Data'!$B$6:$B$37,$A8,'T-12 Data'!$P$6:$P$37)*4,(C6+C7))</f>
        <v/>
      </c>
      <c r="D8" s="9">
        <f>IFERROR(B8/180,"")</f>
        <v/>
      </c>
      <c r="E8" s="15">
        <f>IFERROR(B8/B16,"")</f>
        <v/>
      </c>
    </row>
    <row r="9">
      <c r="A9" s="12" t="inlineStr">
        <is>
          <t>Vacancy</t>
        </is>
      </c>
      <c r="B9" s="13">
        <f>SUMIF('T-12 Data'!$B$6:$B$37,$A9,'T-12 Data'!$O$6:$O$37)</f>
        <v/>
      </c>
      <c r="C9" s="13">
        <f>SUMIF('T-12 Data'!$B$6:$B$37,$A9,'T-12 Data'!$P$6:$P$37)*4</f>
        <v/>
      </c>
      <c r="D9" s="13">
        <f>IFERROR(B9/180,"")</f>
        <v/>
      </c>
      <c r="E9" s="14">
        <f>IFERROR(B9/B16,"")</f>
        <v/>
      </c>
    </row>
    <row r="10">
      <c r="A10" s="12" t="inlineStr">
        <is>
          <t>Concessions</t>
        </is>
      </c>
      <c r="B10" s="13">
        <f>SUMIF('T-12 Data'!$B$6:$B$37,$A10,'T-12 Data'!$O$6:$O$37)</f>
        <v/>
      </c>
      <c r="C10" s="13">
        <f>SUMIF('T-12 Data'!$B$6:$B$37,$A10,'T-12 Data'!$P$6:$P$37)*4</f>
        <v/>
      </c>
      <c r="D10" s="13">
        <f>IFERROR(B10/180,"")</f>
        <v/>
      </c>
      <c r="E10" s="14">
        <f>IFERROR(B10/B16,"")</f>
        <v/>
      </c>
    </row>
    <row r="11">
      <c r="A11" s="12" t="inlineStr">
        <is>
          <t>Non-Revenue Units</t>
        </is>
      </c>
      <c r="B11" s="13">
        <f>SUMIF('T-12 Data'!$B$6:$B$37,$A11,'T-12 Data'!$O$6:$O$37)</f>
        <v/>
      </c>
      <c r="C11" s="13">
        <f>SUMIF('T-12 Data'!$B$6:$B$37,$A11,'T-12 Data'!$P$6:$P$37)*4</f>
        <v/>
      </c>
      <c r="D11" s="13">
        <f>IFERROR(B11/180,"")</f>
        <v/>
      </c>
      <c r="E11" s="14">
        <f>IFERROR(B11/B16,"")</f>
        <v/>
      </c>
    </row>
    <row r="12">
      <c r="A12" s="12" t="inlineStr">
        <is>
          <t>Delinquency</t>
        </is>
      </c>
      <c r="B12" s="13">
        <f>SUMIF('T-12 Data'!$B$6:$B$37,$A12,'T-12 Data'!$O$6:$O$37)</f>
        <v/>
      </c>
      <c r="C12" s="13">
        <f>SUMIF('T-12 Data'!$B$6:$B$37,$A12,'T-12 Data'!$P$6:$P$37)*4</f>
        <v/>
      </c>
      <c r="D12" s="13">
        <f>IFERROR(B12/180,"")</f>
        <v/>
      </c>
      <c r="E12" s="14">
        <f>IFERROR(B12/B16,"")</f>
        <v/>
      </c>
    </row>
    <row r="13">
      <c r="A13" s="12" t="inlineStr">
        <is>
          <t>Utility Reimbursements</t>
        </is>
      </c>
      <c r="B13" s="13">
        <f>SUMIF('T-12 Data'!$B$6:$B$37,$A13,'T-12 Data'!$O$6:$O$37)</f>
        <v/>
      </c>
      <c r="C13" s="13">
        <f>SUMIF('T-12 Data'!$B$6:$B$37,$A13,'T-12 Data'!$P$6:$P$37)*4</f>
        <v/>
      </c>
      <c r="D13" s="13">
        <f>IFERROR(B13/180,"")</f>
        <v/>
      </c>
      <c r="E13" s="14">
        <f>IFERROR(B13/B16,"")</f>
        <v/>
      </c>
    </row>
    <row r="14">
      <c r="A14" s="12" t="inlineStr">
        <is>
          <t>Other Income</t>
        </is>
      </c>
      <c r="B14" s="13">
        <f>SUMIF('T-12 Data'!$B$6:$B$37,$A14,'T-12 Data'!$O$6:$O$37)</f>
        <v/>
      </c>
      <c r="C14" s="13">
        <f>SUMIF('T-12 Data'!$B$6:$B$37,$A14,'T-12 Data'!$P$6:$P$37)*4</f>
        <v/>
      </c>
      <c r="D14" s="13">
        <f>IFERROR(B14/180,"")</f>
        <v/>
      </c>
      <c r="E14" s="14">
        <f>IFERROR(B14/B16,"")</f>
        <v/>
      </c>
    </row>
    <row r="15">
      <c r="A15" s="12" t="inlineStr">
        <is>
          <t>Revenue Adjustments</t>
        </is>
      </c>
      <c r="B15" s="13">
        <f>SUMIF('T-12 Data'!$B$6:$B$37,$A15,'T-12 Data'!$O$6:$O$37)</f>
        <v/>
      </c>
      <c r="C15" s="13">
        <f>SUMIF('T-12 Data'!$B$6:$B$37,$A15,'T-12 Data'!$P$6:$P$37)*4</f>
        <v/>
      </c>
      <c r="D15" s="13">
        <f>IFERROR(B15/180,"")</f>
        <v/>
      </c>
      <c r="E15" s="14">
        <f>IFERROR(B15/B16,"")</f>
        <v/>
      </c>
    </row>
    <row r="16">
      <c r="A16" s="8" t="inlineStr">
        <is>
          <t>Total Revenue</t>
        </is>
      </c>
      <c r="B16" s="9">
        <f>SUM(B8:B15)</f>
        <v/>
      </c>
      <c r="C16" s="9">
        <f>SUM(C8:C15)</f>
        <v/>
      </c>
      <c r="D16" s="9">
        <f>IFERROR(B16/180,"")</f>
        <v/>
      </c>
      <c r="E16" s="15">
        <f>IFERROR(B16/B16,"")</f>
        <v/>
      </c>
    </row>
    <row r="17">
      <c r="A17" s="12" t="inlineStr">
        <is>
          <t>General and Administrative</t>
        </is>
      </c>
      <c r="B17" s="13">
        <f>SUMIF('T-12 Data'!$B$6:$B$37,$A17,'T-12 Data'!$O$6:$O$37)</f>
        <v/>
      </c>
      <c r="C17" s="13">
        <f>SUMIF('T-12 Data'!$B$6:$B$37,$A17,'T-12 Data'!$P$6:$P$37)*4</f>
        <v/>
      </c>
      <c r="D17" s="13">
        <f>IFERROR(B17/180,"")</f>
        <v/>
      </c>
      <c r="E17" s="14">
        <f>IFERROR(B17/B16,"")</f>
        <v/>
      </c>
    </row>
    <row r="18">
      <c r="A18" s="12" t="inlineStr">
        <is>
          <t>Leasing and Marketing</t>
        </is>
      </c>
      <c r="B18" s="13">
        <f>SUMIF('T-12 Data'!$B$6:$B$37,$A18,'T-12 Data'!$O$6:$O$37)</f>
        <v/>
      </c>
      <c r="C18" s="13">
        <f>SUMIF('T-12 Data'!$B$6:$B$37,$A18,'T-12 Data'!$P$6:$P$37)*4</f>
        <v/>
      </c>
      <c r="D18" s="13">
        <f>IFERROR(B18/180,"")</f>
        <v/>
      </c>
      <c r="E18" s="14">
        <f>IFERROR(B18/B16,"")</f>
        <v/>
      </c>
    </row>
    <row r="19">
      <c r="A19" s="12" t="inlineStr">
        <is>
          <t>Payroll</t>
        </is>
      </c>
      <c r="B19" s="13">
        <f>SUMIF('T-12 Data'!$B$6:$B$37,$A19,'T-12 Data'!$O$6:$O$37)</f>
        <v/>
      </c>
      <c r="C19" s="13">
        <f>SUMIF('T-12 Data'!$B$6:$B$37,$A19,'T-12 Data'!$P$6:$P$37)*4</f>
        <v/>
      </c>
      <c r="D19" s="13">
        <f>IFERROR(B19/180,"")</f>
        <v/>
      </c>
      <c r="E19" s="14">
        <f>IFERROR(B19/B16,"")</f>
        <v/>
      </c>
    </row>
    <row r="20">
      <c r="A20" s="12" t="inlineStr">
        <is>
          <t>Insurance</t>
        </is>
      </c>
      <c r="B20" s="13">
        <f>SUMIF('T-12 Data'!$B$6:$B$37,$A20,'T-12 Data'!$O$6:$O$37)</f>
        <v/>
      </c>
      <c r="C20" s="13">
        <f>SUMIF('T-12 Data'!$B$6:$B$37,$A20,'T-12 Data'!$P$6:$P$37)*4</f>
        <v/>
      </c>
      <c r="D20" s="13">
        <f>IFERROR(B20/180,"")</f>
        <v/>
      </c>
      <c r="E20" s="14">
        <f>IFERROR(B20/B16,"")</f>
        <v/>
      </c>
    </row>
    <row r="21">
      <c r="A21" s="12" t="inlineStr">
        <is>
          <t>Property Taxes</t>
        </is>
      </c>
      <c r="B21" s="13">
        <f>SUMIF('T-12 Data'!$B$6:$B$37,$A21,'T-12 Data'!$O$6:$O$37)</f>
        <v/>
      </c>
      <c r="C21" s="13">
        <f>SUMIF('T-12 Data'!$B$6:$B$37,$A21,'T-12 Data'!$P$6:$P$37)*4</f>
        <v/>
      </c>
      <c r="D21" s="13">
        <f>IFERROR(B21/180,"")</f>
        <v/>
      </c>
      <c r="E21" s="14">
        <f>IFERROR(B21/B16,"")</f>
        <v/>
      </c>
    </row>
    <row r="22">
      <c r="A22" s="12" t="inlineStr">
        <is>
          <t>Legal and Professional</t>
        </is>
      </c>
      <c r="B22" s="13">
        <f>SUMIF('T-12 Data'!$B$6:$B$37,$A22,'T-12 Data'!$O$6:$O$37)</f>
        <v/>
      </c>
      <c r="C22" s="13">
        <f>SUMIF('T-12 Data'!$B$6:$B$37,$A22,'T-12 Data'!$P$6:$P$37)*4</f>
        <v/>
      </c>
      <c r="D22" s="13">
        <f>IFERROR(B22/180,"")</f>
        <v/>
      </c>
      <c r="E22" s="14">
        <f>IFERROR(B22/B16,"")</f>
        <v/>
      </c>
    </row>
    <row r="23">
      <c r="A23" s="12" t="inlineStr">
        <is>
          <t>Management Fee</t>
        </is>
      </c>
      <c r="B23" s="13">
        <f>SUMIF('T-12 Data'!$B$6:$B$37,$A23,'T-12 Data'!$O$6:$O$37)</f>
        <v/>
      </c>
      <c r="C23" s="13">
        <f>SUMIF('T-12 Data'!$B$6:$B$37,$A23,'T-12 Data'!$P$6:$P$37)*4</f>
        <v/>
      </c>
      <c r="D23" s="13">
        <f>IFERROR(B23/180,"")</f>
        <v/>
      </c>
      <c r="E23" s="14">
        <f>IFERROR(B23/B16,"")</f>
        <v/>
      </c>
    </row>
    <row r="24">
      <c r="A24" s="12" t="inlineStr">
        <is>
          <t>Landscaping</t>
        </is>
      </c>
      <c r="B24" s="13">
        <f>SUMIF('T-12 Data'!$B$6:$B$37,$A24,'T-12 Data'!$O$6:$O$37)</f>
        <v/>
      </c>
      <c r="C24" s="13">
        <f>SUMIF('T-12 Data'!$B$6:$B$37,$A24,'T-12 Data'!$P$6:$P$37)*4</f>
        <v/>
      </c>
      <c r="D24" s="13">
        <f>IFERROR(B24/180,"")</f>
        <v/>
      </c>
      <c r="E24" s="14">
        <f>IFERROR(B24/B16,"")</f>
        <v/>
      </c>
    </row>
    <row r="25">
      <c r="A25" s="12" t="inlineStr">
        <is>
          <t>Repairs and Maintenance</t>
        </is>
      </c>
      <c r="B25" s="13">
        <f>SUMIF('T-12 Data'!$B$6:$B$37,$A25,'T-12 Data'!$O$6:$O$37)</f>
        <v/>
      </c>
      <c r="C25" s="13">
        <f>SUMIF('T-12 Data'!$B$6:$B$37,$A25,'T-12 Data'!$P$6:$P$37)*4</f>
        <v/>
      </c>
      <c r="D25" s="13">
        <f>IFERROR(B25/180,"")</f>
        <v/>
      </c>
      <c r="E25" s="14">
        <f>IFERROR(B25/B16,"")</f>
        <v/>
      </c>
    </row>
    <row r="26">
      <c r="A26" s="12" t="inlineStr">
        <is>
          <t>Unit Turns</t>
        </is>
      </c>
      <c r="B26" s="13">
        <f>SUMIF('T-12 Data'!$B$6:$B$37,$A26,'T-12 Data'!$O$6:$O$37)</f>
        <v/>
      </c>
      <c r="C26" s="13">
        <f>SUMIF('T-12 Data'!$B$6:$B$37,$A26,'T-12 Data'!$P$6:$P$37)*4</f>
        <v/>
      </c>
      <c r="D26" s="13">
        <f>IFERROR(B26/180,"")</f>
        <v/>
      </c>
      <c r="E26" s="14">
        <f>IFERROR(B26/B16,"")</f>
        <v/>
      </c>
    </row>
    <row r="27">
      <c r="A27" s="12" t="inlineStr">
        <is>
          <t>Utilities</t>
        </is>
      </c>
      <c r="B27" s="13">
        <f>SUMIF('T-12 Data'!$B$6:$B$37,$A27,'T-12 Data'!$O$6:$O$37)</f>
        <v/>
      </c>
      <c r="C27" s="13">
        <f>SUMIF('T-12 Data'!$B$6:$B$37,$A27,'T-12 Data'!$P$6:$P$37)*4</f>
        <v/>
      </c>
      <c r="D27" s="13">
        <f>IFERROR(B27/180,"")</f>
        <v/>
      </c>
      <c r="E27" s="14">
        <f>IFERROR(B27/B16,"")</f>
        <v/>
      </c>
    </row>
    <row r="28">
      <c r="A28" s="12" t="inlineStr">
        <is>
          <t>Expense Adjustments</t>
        </is>
      </c>
      <c r="B28" s="13">
        <f>SUMIF('T-12 Data'!$B$6:$B$37,$A28,'T-12 Data'!$O$6:$O$37)</f>
        <v/>
      </c>
      <c r="C28" s="13">
        <f>SUMIF('T-12 Data'!$B$6:$B$37,$A28,'T-12 Data'!$P$6:$P$37)*4</f>
        <v/>
      </c>
      <c r="D28" s="13">
        <f>IFERROR(B28/180,"")</f>
        <v/>
      </c>
      <c r="E28" s="14">
        <f>IFERROR(B28/B16,"")</f>
        <v/>
      </c>
    </row>
    <row r="29">
      <c r="A29" s="8" t="inlineStr">
        <is>
          <t>Total Operating Expenses</t>
        </is>
      </c>
      <c r="B29" s="9">
        <f>SUM(B17:B28)</f>
        <v/>
      </c>
      <c r="C29" s="9">
        <f>SUM(C17:C28)</f>
        <v/>
      </c>
      <c r="D29" s="9">
        <f>IFERROR(B29/180,"")</f>
        <v/>
      </c>
      <c r="E29" s="15">
        <f>IFERROR(B29/B16,"")</f>
        <v/>
      </c>
    </row>
    <row r="30">
      <c r="A30" s="8" t="inlineStr">
        <is>
          <t>Net Operating Income</t>
        </is>
      </c>
      <c r="B30" s="9">
        <f>B16-B29</f>
        <v/>
      </c>
      <c r="C30" s="9">
        <f>C16-C29</f>
        <v/>
      </c>
      <c r="D30" s="9">
        <f>IFERROR(B30/180,"")</f>
        <v/>
      </c>
      <c r="E30" s="15">
        <f>IFERROR(B30/B16,"")</f>
        <v/>
      </c>
    </row>
    <row r="32">
      <c r="A32" s="2" t="inlineStr">
        <is>
          <t>Gross scheduled rent basis: gross potential rent + gain/(loss) to lease. Total revenue sums from gross scheduled rent down through revenue adjustments — not from gross potential rent, which would double-count the loss-to-lease line.</t>
        </is>
      </c>
    </row>
    <row r="34">
      <c r="A34" s="16" t="inlineStr">
        <is>
          <t>Other Income — top 4 plus rest</t>
        </is>
      </c>
      <c r="B34" s="16" t="n"/>
      <c r="C34" s="16" t="n"/>
    </row>
    <row r="35">
      <c r="A35" s="4" t="inlineStr">
        <is>
          <t>Line item</t>
        </is>
      </c>
      <c r="B35" s="4" t="inlineStr">
        <is>
          <t>T-12</t>
        </is>
      </c>
      <c r="C35" s="4" t="inlineStr">
        <is>
          <t>T-3 annualized</t>
        </is>
      </c>
    </row>
    <row r="36">
      <c r="A36" s="5" t="inlineStr">
        <is>
          <t>Pet Rent</t>
        </is>
      </c>
      <c r="B36" s="6" t="n">
        <v>47600.04</v>
      </c>
      <c r="C36" s="6" t="n">
        <v>48449.88</v>
      </c>
    </row>
    <row r="37">
      <c r="A37" s="5" t="inlineStr">
        <is>
          <t>Parking</t>
        </is>
      </c>
      <c r="B37" s="6" t="n">
        <v>37851.11</v>
      </c>
      <c r="C37" s="6" t="n">
        <v>38529.88</v>
      </c>
    </row>
    <row r="38">
      <c r="A38" s="5" t="inlineStr">
        <is>
          <t>Late Fees</t>
        </is>
      </c>
      <c r="B38" s="6" t="n">
        <v>17686.93</v>
      </c>
      <c r="C38" s="6" t="n">
        <v>18098.92</v>
      </c>
    </row>
    <row r="39">
      <c r="A39" s="5" t="inlineStr">
        <is>
          <t>Application Fees</t>
        </is>
      </c>
      <c r="B39" s="6" t="n">
        <v>14384.28</v>
      </c>
      <c r="C39" s="6" t="n">
        <v>14702.76</v>
      </c>
    </row>
    <row r="40">
      <c r="A40" s="5" t="inlineStr">
        <is>
          <t>All other other income (2 lines)</t>
        </is>
      </c>
      <c r="B40" s="6" t="n">
        <v>14382.27</v>
      </c>
      <c r="C40" s="6" t="n">
        <v>14702.72</v>
      </c>
    </row>
    <row r="41">
      <c r="A41" s="7" t="inlineStr">
        <is>
          <t>Total other income</t>
        </is>
      </c>
      <c r="B41" s="9">
        <f>'P&amp;L Summary'!B14</f>
        <v/>
      </c>
      <c r="C41" s="9">
        <f>'P&amp;L Summary'!C14</f>
        <v/>
      </c>
    </row>
    <row r="43">
      <c r="A43" s="16" t="inlineStr">
        <is>
          <t>Utility Reimbursements — top 4 plus rest</t>
        </is>
      </c>
      <c r="B43" s="16" t="n"/>
      <c r="C43" s="16" t="n"/>
    </row>
    <row r="44">
      <c r="A44" s="4" t="inlineStr">
        <is>
          <t>Line item</t>
        </is>
      </c>
      <c r="B44" s="4" t="inlineStr">
        <is>
          <t>T-12</t>
        </is>
      </c>
      <c r="C44" s="4" t="inlineStr">
        <is>
          <t>T-3 annualized</t>
        </is>
      </c>
    </row>
    <row r="45">
      <c r="A45" s="5" t="inlineStr">
        <is>
          <t>RUBS — Water/Sewer</t>
        </is>
      </c>
      <c r="B45" s="6" t="n">
        <v>119632.39</v>
      </c>
      <c r="C45" s="6" t="n">
        <v>121915.56</v>
      </c>
    </row>
    <row r="46">
      <c r="A46" s="5" t="inlineStr">
        <is>
          <t>RUBS — Trash</t>
        </is>
      </c>
      <c r="B46" s="6" t="n">
        <v>51631.87</v>
      </c>
      <c r="C46" s="6" t="n">
        <v>52751.8</v>
      </c>
    </row>
    <row r="47">
      <c r="A47" s="5" t="inlineStr">
        <is>
          <t>All other utility reimbursements (0 lines)</t>
        </is>
      </c>
      <c r="B47" s="6" t="n">
        <v>0</v>
      </c>
      <c r="C47" s="6" t="n">
        <v>0</v>
      </c>
    </row>
    <row r="48">
      <c r="A48" s="7" t="inlineStr">
        <is>
          <t>Total utility reimbursements</t>
        </is>
      </c>
      <c r="B48" s="9">
        <f>'P&amp;L Summary'!B13</f>
        <v/>
      </c>
      <c r="C48" s="9">
        <f>'P&amp;L Summary'!C13</f>
        <v/>
      </c>
    </row>
    <row r="50">
      <c r="A50" s="16" t="inlineStr">
        <is>
          <t>Utilities — top 4 plus rest</t>
        </is>
      </c>
      <c r="B50" s="16" t="n"/>
      <c r="C50" s="16" t="n"/>
    </row>
    <row r="51">
      <c r="A51" s="4" t="inlineStr">
        <is>
          <t>Line item</t>
        </is>
      </c>
      <c r="B51" s="4" t="inlineStr">
        <is>
          <t>T-12</t>
        </is>
      </c>
      <c r="C51" s="4" t="inlineStr">
        <is>
          <t>T-3 annualized</t>
        </is>
      </c>
    </row>
    <row r="52">
      <c r="A52" s="5" t="inlineStr">
        <is>
          <t>Utilities — Water/Sewer</t>
        </is>
      </c>
      <c r="B52" s="6" t="n">
        <v>114812.93</v>
      </c>
      <c r="C52" s="6" t="n">
        <v>117279.6</v>
      </c>
    </row>
    <row r="53">
      <c r="A53" s="5" t="inlineStr">
        <is>
          <t>Utilities — Electric (common)</t>
        </is>
      </c>
      <c r="B53" s="6" t="n">
        <v>51338.87</v>
      </c>
      <c r="C53" s="6" t="n">
        <v>51863.8</v>
      </c>
    </row>
    <row r="54">
      <c r="A54" s="5" t="inlineStr">
        <is>
          <t>Utilities — Trash</t>
        </is>
      </c>
      <c r="B54" s="6" t="n">
        <v>50156.25</v>
      </c>
      <c r="C54" s="6" t="n">
        <v>51141.8</v>
      </c>
    </row>
    <row r="55">
      <c r="A55" s="5" t="inlineStr">
        <is>
          <t>Utilities — Gas</t>
        </is>
      </c>
      <c r="B55" s="6" t="n">
        <v>28111.16</v>
      </c>
      <c r="C55" s="6" t="n">
        <v>28709.92</v>
      </c>
    </row>
    <row r="56">
      <c r="A56" s="5" t="inlineStr">
        <is>
          <t>All other utilities (1 lines)</t>
        </is>
      </c>
      <c r="B56" s="6" t="n">
        <v>19532.84</v>
      </c>
      <c r="C56" s="6" t="n">
        <v>19983.92</v>
      </c>
    </row>
    <row r="57">
      <c r="A57" s="7" t="inlineStr">
        <is>
          <t>Total utilities</t>
        </is>
      </c>
      <c r="B57" s="9">
        <f>'P&amp;L Summary'!B27</f>
        <v/>
      </c>
      <c r="C57" s="9">
        <f>'P&amp;L Summary'!C27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6" customWidth="1" min="4" max="4"/>
    <col width="14" customWidth="1" min="5" max="5"/>
    <col width="52" customWidth="1" min="6" max="6"/>
  </cols>
  <sheetData>
    <row r="1">
      <c r="A1" s="1" t="inlineStr">
        <is>
          <t>Checks and pricing</t>
        </is>
      </c>
    </row>
    <row r="2">
      <c r="A2" s="2" t="inlineStr">
        <is>
          <t>Fixture Park — as of 2026-06-30</t>
        </is>
      </c>
    </row>
    <row r="3">
      <c r="A3" s="2" t="inlineStr">
        <is>
          <t>AI Underwriting Pipeline — Sample Outputs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6" t="inlineStr">
        <is>
          <t>Error check</t>
        </is>
      </c>
      <c r="B5" s="16" t="n"/>
      <c r="C5" s="16" t="n"/>
      <c r="D5" s="16" t="n"/>
      <c r="E5" s="16" t="n"/>
      <c r="F5" s="16" t="n"/>
    </row>
    <row r="6">
      <c r="A6" s="4" t="inlineStr">
        <is>
          <t>Check</t>
        </is>
      </c>
      <c r="B6" s="4" t="inlineStr">
        <is>
          <t>Our total</t>
        </is>
      </c>
      <c r="C6" s="4" t="inlineStr">
        <is>
          <t>Source subtotal</t>
        </is>
      </c>
      <c r="D6" s="4" t="inlineStr">
        <is>
          <t>Difference</t>
        </is>
      </c>
      <c r="E6" s="4" t="inlineStr">
        <is>
          <t>Status</t>
        </is>
      </c>
      <c r="F6" s="4" t="inlineStr">
        <is>
          <t>Note</t>
        </is>
      </c>
    </row>
    <row r="7">
      <c r="A7" s="5" t="inlineStr">
        <is>
          <t>Total Revenue</t>
        </is>
      </c>
      <c r="B7" s="6">
        <f>'P&amp;L Summary'!B16</f>
        <v/>
      </c>
      <c r="C7" s="6" t="n">
        <v>3814903.84</v>
      </c>
      <c r="D7" s="6">
        <f>IFERROR(B7-C7,"")</f>
        <v/>
      </c>
      <c r="E7" s="17">
        <f>IF(C7="","NOT CHECKED",IF(ABS(D7)&lt;=1,"OK","REVIEW"))</f>
        <v/>
      </c>
      <c r="F7" s="17" t="n"/>
    </row>
    <row r="8">
      <c r="A8" s="5" t="inlineStr">
        <is>
          <t>Total Operating Expenses</t>
        </is>
      </c>
      <c r="B8" s="6">
        <f>'P&amp;L Summary'!B29</f>
        <v/>
      </c>
      <c r="C8" s="6" t="n">
        <v>1688442.2</v>
      </c>
      <c r="D8" s="6">
        <f>IFERROR(B8-C8,"")</f>
        <v/>
      </c>
      <c r="E8" s="17">
        <f>IF(C8="","NOT CHECKED",IF(ABS(D8)&lt;=1,"OK","REVIEW"))</f>
        <v/>
      </c>
      <c r="F8" s="17" t="n"/>
    </row>
    <row r="9">
      <c r="A9" s="5" t="inlineStr">
        <is>
          <t>Net Operating Income</t>
        </is>
      </c>
      <c r="B9" s="6">
        <f>'P&amp;L Summary'!B30</f>
        <v/>
      </c>
      <c r="C9" s="6" t="n">
        <v>2126461.64</v>
      </c>
      <c r="D9" s="6">
        <f>IFERROR(B9-C9,"")</f>
        <v/>
      </c>
      <c r="E9" s="17">
        <f>IF(C9="","NOT CHECKED",IF(ABS(D9)&lt;=1,"OK","REVIEW"))</f>
        <v/>
      </c>
      <c r="F9" s="17" t="n"/>
    </row>
    <row r="10">
      <c r="A10" s="5" t="inlineStr">
        <is>
          <t>Other Income</t>
        </is>
      </c>
      <c r="B10" s="6">
        <f>'P&amp;L Summary'!B14</f>
        <v/>
      </c>
      <c r="C10" s="6" t="n">
        <v>131904.63</v>
      </c>
      <c r="D10" s="6">
        <f>IFERROR(B10-C10,"")</f>
        <v/>
      </c>
      <c r="E10" s="17">
        <f>IF(C10="","NOT CHECKED",IF(ABS(D10)&lt;=1,"OK","REVIEW"))</f>
        <v/>
      </c>
      <c r="F10" s="17" t="n"/>
    </row>
    <row r="11">
      <c r="A11" s="5" t="inlineStr">
        <is>
          <t>Utility Reimbursements</t>
        </is>
      </c>
      <c r="B11" s="6">
        <f>'P&amp;L Summary'!B13</f>
        <v/>
      </c>
      <c r="C11" s="17" t="n"/>
      <c r="D11" s="6">
        <f>IFERROR(B11-C11,"")</f>
        <v/>
      </c>
      <c r="E11" s="17">
        <f>IF(C11="","NOT CHECKED",IF(ABS(D11)&lt;=1,"OK","REVIEW"))</f>
        <v/>
      </c>
      <c r="F11" s="5" t="inlineStr">
        <is>
          <t>The source statement printed no subtotal for this line.</t>
        </is>
      </c>
    </row>
    <row r="12">
      <c r="A12" s="5" t="inlineStr">
        <is>
          <t>Utilities</t>
        </is>
      </c>
      <c r="B12" s="6">
        <f>'P&amp;L Summary'!B27</f>
        <v/>
      </c>
      <c r="C12" s="6" t="n">
        <v>263952.05</v>
      </c>
      <c r="D12" s="6">
        <f>IFERROR(B12-C12,"")</f>
        <v/>
      </c>
      <c r="E12" s="17">
        <f>IF(C12="","NOT CHECKED",IF(ABS(D12)&lt;=1,"OK","REVIEW"))</f>
        <v/>
      </c>
      <c r="F12" s="17" t="n"/>
    </row>
    <row r="14">
      <c r="A14" s="2" t="inlineStr">
        <is>
          <t>A difference over one dollar reads REVIEW rather than quietly passing. A subtotal the source never printed reads NOT CHECKED — not OK, which would claim a tie that was never tested.</t>
        </is>
      </c>
    </row>
    <row r="16">
      <c r="A16" s="16" t="inlineStr">
        <is>
          <t>Rent-roll tie-outs</t>
        </is>
      </c>
      <c r="B16" s="16" t="n"/>
      <c r="C16" s="16" t="n"/>
      <c r="D16" s="16" t="n"/>
      <c r="E16" s="16" t="n"/>
      <c r="F16" s="16" t="n"/>
    </row>
    <row r="17">
      <c r="A17" s="4" t="inlineStr">
        <is>
          <t>Check</t>
        </is>
      </c>
      <c r="B17" s="4" t="inlineStr">
        <is>
          <t>Our calc</t>
        </is>
      </c>
      <c r="C17" s="4" t="inlineStr">
        <is>
          <t>Source</t>
        </is>
      </c>
      <c r="D17" s="4" t="inlineStr">
        <is>
          <t>Difference</t>
        </is>
      </c>
      <c r="E17" s="4" t="inlineStr">
        <is>
          <t>Status</t>
        </is>
      </c>
      <c r="F17" s="4" t="inlineStr">
        <is>
          <t>Note</t>
        </is>
      </c>
    </row>
    <row r="18">
      <c r="A18" s="5" t="inlineStr">
        <is>
          <t>Total units</t>
        </is>
      </c>
      <c r="B18" s="6" t="n">
        <v>180</v>
      </c>
      <c r="C18" s="6" t="n">
        <v>180</v>
      </c>
      <c r="D18" s="6" t="n">
        <v>0</v>
      </c>
      <c r="E18" s="5" t="inlineStr">
        <is>
          <t>OK</t>
        </is>
      </c>
      <c r="F18" s="18" t="inlineStr">
        <is>
          <t>Unit count after de-duplicating rows for units listed twice mid-turnover.</t>
        </is>
      </c>
    </row>
    <row r="19">
      <c r="A19" s="5" t="inlineStr">
        <is>
          <t>Total square feet</t>
        </is>
      </c>
      <c r="B19" s="6" t="n">
        <v>190440</v>
      </c>
      <c r="C19" s="6" t="n">
        <v>178020</v>
      </c>
      <c r="D19" s="6" t="n">
        <v>12420</v>
      </c>
      <c r="E19" s="5" t="inlineStr">
        <is>
          <t>MISMATCH</t>
        </is>
      </c>
      <c r="F19" s="18" t="inlineStr">
        <is>
          <t>This project's own addition — the operator's rent-roll skill has no square-footage tie-out. It earns its place because square footage is what the de-duplication is checked against: dropping the wrong duplicate row changes the total.</t>
        </is>
      </c>
    </row>
    <row r="20">
      <c r="A20" s="5" t="inlineStr">
        <is>
          <t>Occupied units (physical)</t>
        </is>
      </c>
      <c r="B20" s="6" t="n">
        <v>177</v>
      </c>
      <c r="C20" s="17" t="n"/>
      <c r="D20" s="17" t="n"/>
      <c r="E20" s="5" t="inlineStr">
        <is>
          <t>NOT CHECKED</t>
        </is>
      </c>
      <c r="F20" s="18" t="inlineStr">
        <is>
          <t>The source states no per-status unit table, so physical occupancy cannot be tied to it.</t>
        </is>
      </c>
    </row>
    <row r="21">
      <c r="A21" s="5" t="inlineStr">
        <is>
          <t>Occupancy</t>
        </is>
      </c>
      <c r="B21" s="19" t="n">
        <v>0.9833333333333333</v>
      </c>
      <c r="C21" s="17" t="n"/>
      <c r="D21" s="17" t="n"/>
      <c r="E21" s="5" t="inlineStr">
        <is>
          <t>NOT CHECKED</t>
        </is>
      </c>
      <c r="F21" s="18" t="inlineStr">
        <is>
          <t>PHYSICAL occupancy: 177 of 180 units. Residents on notice count as occupied; down, model and employee units do not. Economic occupancy is a different number and is not this one.</t>
        </is>
      </c>
    </row>
    <row r="22">
      <c r="A22" s="5" t="inlineStr">
        <is>
          <t>Market rent (monthly total)</t>
        </is>
      </c>
      <c r="B22" s="17" t="n"/>
      <c r="C22" s="17" t="n"/>
      <c r="D22" s="17" t="n"/>
      <c r="E22" s="5" t="inlineStr">
        <is>
          <t>NOT CHECKED</t>
        </is>
      </c>
      <c r="F22" s="18" t="inlineStr">
        <is>
          <t>The parse did not capture a per-unit market rent, so this cannot be tied.</t>
        </is>
      </c>
    </row>
    <row r="23">
      <c r="A23" s="5" t="inlineStr">
        <is>
          <t>Occupied units</t>
        </is>
      </c>
      <c r="B23" s="6" t="n">
        <v>177</v>
      </c>
      <c r="C23" s="17" t="n"/>
      <c r="D23" s="17" t="n"/>
      <c r="E23" s="5" t="inlineStr">
        <is>
          <t>INFO</t>
        </is>
      </c>
      <c r="F23" s="18" t="inlineStr">
        <is>
          <t>The numerator above, stated separately so the ratio can be re-derived.</t>
        </is>
      </c>
    </row>
    <row r="25">
      <c r="A25" s="10" t="inlineStr">
        <is>
          <t>1/5 tie-outs OK; 3 NOT CHECKED</t>
        </is>
      </c>
    </row>
    <row r="26">
      <c r="A26" s="2" t="inlineStr">
        <is>
          <t>A total the source export never printed reads NOT CHECKED and stays in the denominator above — excluding it would let a check that could not run flatter the ratio. Occupancy here is PHYSICAL: 177/180 units, physical. Down, model and employee units count as vacant.</t>
        </is>
      </c>
    </row>
    <row r="28">
      <c r="A28" s="16" t="inlineStr">
        <is>
          <t>Rent readback — 10 units, sampled reproducibly</t>
        </is>
      </c>
      <c r="B28" s="16" t="n"/>
      <c r="C28" s="16" t="n"/>
      <c r="D28" s="16" t="n"/>
      <c r="E28" s="16" t="n"/>
      <c r="F28" s="16" t="n"/>
    </row>
    <row r="29">
      <c r="A29" s="4" t="inlineStr">
        <is>
          <t>Unit</t>
        </is>
      </c>
      <c r="B29" s="4" t="inlineStr">
        <is>
          <t>Plan</t>
        </is>
      </c>
      <c r="C29" s="4" t="inlineStr">
        <is>
          <t>Our in-place rent</t>
        </is>
      </c>
      <c r="D29" s="4" t="inlineStr">
        <is>
          <t>Source cell value</t>
        </is>
      </c>
      <c r="E29" s="4" t="inlineStr">
        <is>
          <t>Source locator</t>
        </is>
      </c>
      <c r="F29" s="4" t="inlineStr">
        <is>
          <t>Status</t>
        </is>
      </c>
    </row>
    <row r="30">
      <c r="A30" s="5" t="inlineStr">
        <is>
          <t>A1-123</t>
        </is>
      </c>
      <c r="B30" s="5" t="inlineStr">
        <is>
          <t>A1</t>
        </is>
      </c>
      <c r="C30" s="6" t="n">
        <v>1417</v>
      </c>
      <c r="D30" s="6" t="n">
        <v>1417</v>
      </c>
      <c r="E30" s="5" t="inlineStr">
        <is>
          <t>Rent Roll (source)!F26</t>
        </is>
      </c>
      <c r="F30" s="5" t="inlineStr">
        <is>
          <t>OK</t>
        </is>
      </c>
    </row>
    <row r="31">
      <c r="A31" s="5" t="inlineStr">
        <is>
          <t>A1-130</t>
        </is>
      </c>
      <c r="B31" s="5" t="inlineStr">
        <is>
          <t>A1</t>
        </is>
      </c>
      <c r="C31" s="6" t="n">
        <v>1438</v>
      </c>
      <c r="D31" s="6" t="n">
        <v>1438</v>
      </c>
      <c r="E31" s="5" t="inlineStr">
        <is>
          <t>Rent Roll (source)!F33</t>
        </is>
      </c>
      <c r="F31" s="5" t="inlineStr">
        <is>
          <t>OK</t>
        </is>
      </c>
    </row>
    <row r="32">
      <c r="A32" s="5" t="inlineStr">
        <is>
          <t>A2-108</t>
        </is>
      </c>
      <c r="B32" s="5" t="inlineStr">
        <is>
          <t>A2</t>
        </is>
      </c>
      <c r="C32" s="6" t="n">
        <v>1564</v>
      </c>
      <c r="D32" s="6" t="n">
        <v>1564</v>
      </c>
      <c r="E32" s="5" t="inlineStr">
        <is>
          <t>Rent Roll (source)!F45</t>
        </is>
      </c>
      <c r="F32" s="5" t="inlineStr">
        <is>
          <t>OK</t>
        </is>
      </c>
    </row>
    <row r="33">
      <c r="A33" s="5" t="inlineStr">
        <is>
          <t>B1-101</t>
        </is>
      </c>
      <c r="B33" s="5" t="inlineStr">
        <is>
          <t>B1</t>
        </is>
      </c>
      <c r="C33" s="6" t="n">
        <v>1831</v>
      </c>
      <c r="D33" s="6" t="n">
        <v>1831</v>
      </c>
      <c r="E33" s="5" t="inlineStr">
        <is>
          <t>Rent Roll (source)!F66</t>
        </is>
      </c>
      <c r="F33" s="5" t="inlineStr">
        <is>
          <t>OK</t>
        </is>
      </c>
    </row>
    <row r="34">
      <c r="A34" s="5" t="inlineStr">
        <is>
          <t>B1-103</t>
        </is>
      </c>
      <c r="B34" s="5" t="inlineStr">
        <is>
          <t>B1</t>
        </is>
      </c>
      <c r="C34" s="6" t="n">
        <v>1809</v>
      </c>
      <c r="D34" s="6" t="n">
        <v>1809</v>
      </c>
      <c r="E34" s="5" t="inlineStr">
        <is>
          <t>Rent Roll (source)!F68</t>
        </is>
      </c>
      <c r="F34" s="5" t="inlineStr">
        <is>
          <t>OK</t>
        </is>
      </c>
    </row>
    <row r="35">
      <c r="A35" s="5" t="inlineStr">
        <is>
          <t>B1-113</t>
        </is>
      </c>
      <c r="B35" s="5" t="inlineStr">
        <is>
          <t>B1</t>
        </is>
      </c>
      <c r="C35" s="6" t="n">
        <v>1734</v>
      </c>
      <c r="D35" s="6" t="n">
        <v>1734</v>
      </c>
      <c r="E35" s="5" t="inlineStr">
        <is>
          <t>Rent Roll (source)!F78</t>
        </is>
      </c>
      <c r="F35" s="5" t="inlineStr">
        <is>
          <t>OK</t>
        </is>
      </c>
    </row>
    <row r="36">
      <c r="A36" s="5" t="inlineStr">
        <is>
          <t>B1-126</t>
        </is>
      </c>
      <c r="B36" s="5" t="inlineStr">
        <is>
          <t>B1</t>
        </is>
      </c>
      <c r="C36" s="6" t="n">
        <v>1799</v>
      </c>
      <c r="D36" s="6" t="n">
        <v>1799</v>
      </c>
      <c r="E36" s="5" t="inlineStr">
        <is>
          <t>Rent Roll (source)!F91</t>
        </is>
      </c>
      <c r="F36" s="5" t="inlineStr">
        <is>
          <t>OK</t>
        </is>
      </c>
    </row>
    <row r="37">
      <c r="A37" s="5" t="inlineStr">
        <is>
          <t>B2-123</t>
        </is>
      </c>
      <c r="B37" s="5" t="inlineStr">
        <is>
          <t>B2</t>
        </is>
      </c>
      <c r="C37" s="6" t="n">
        <v>1887</v>
      </c>
      <c r="D37" s="6" t="n">
        <v>1887</v>
      </c>
      <c r="E37" s="5" t="inlineStr">
        <is>
          <t>Rent Roll (source)!F130</t>
        </is>
      </c>
      <c r="F37" s="5" t="inlineStr">
        <is>
          <t>OK</t>
        </is>
      </c>
    </row>
    <row r="38">
      <c r="A38" s="5" t="inlineStr">
        <is>
          <t>C1-118</t>
        </is>
      </c>
      <c r="B38" s="5" t="inlineStr">
        <is>
          <t>C1</t>
        </is>
      </c>
      <c r="C38" s="6" t="n">
        <v>2056</v>
      </c>
      <c r="D38" s="6" t="n">
        <v>2056</v>
      </c>
      <c r="E38" s="5" t="inlineStr">
        <is>
          <t>Rent Roll (source)!F161</t>
        </is>
      </c>
      <c r="F38" s="5" t="inlineStr">
        <is>
          <t>OK</t>
        </is>
      </c>
    </row>
    <row r="39">
      <c r="A39" s="5" t="inlineStr">
        <is>
          <t>Cypress-106</t>
        </is>
      </c>
      <c r="B39" s="5" t="inlineStr">
        <is>
          <t>Cypress TH</t>
        </is>
      </c>
      <c r="C39" s="6" t="n">
        <v>2343</v>
      </c>
      <c r="D39" s="6" t="n">
        <v>2343</v>
      </c>
      <c r="E39" s="5" t="inlineStr">
        <is>
          <t>Rent Roll (source)!F175</t>
        </is>
      </c>
      <c r="F39" s="5" t="inlineStr">
        <is>
          <t>OK</t>
        </is>
      </c>
    </row>
    <row r="41">
      <c r="A41" s="10" t="inlineStr">
        <is>
          <t>10 of 10 match within $0.50. Sample seeded from the roll's as-of date (2026-06-30|180), so the same roll always checks the same units and a reviewer re-running this sees these rows.</t>
        </is>
      </c>
    </row>
    <row r="42" ht="34" customHeight="1">
      <c r="A42" s="20" t="inlineStr">
        <is>
          <t>Both sides of the readback read the same rent column, so it validates TRANSCRIPTION — that the number was carried across correctly — and cannot detect the wrong column having been chosen in the first place. The column choice is evidenced in the audit trail instead.</t>
        </is>
      </c>
    </row>
    <row r="44">
      <c r="A44" s="16" t="inlineStr">
        <is>
          <t>Pricing and cap rate (illustrative)</t>
        </is>
      </c>
      <c r="B44" s="16" t="n"/>
      <c r="C44" s="16" t="n"/>
      <c r="D44" s="16" t="n"/>
      <c r="E44" s="16" t="n"/>
      <c r="F44" s="16" t="n"/>
    </row>
    <row r="45">
      <c r="A45" s="5" t="inlineStr">
        <is>
          <t>Price per unit</t>
        </is>
      </c>
      <c r="B45" s="6" t="n">
        <v>215000</v>
      </c>
      <c r="C45" s="20" t="inlineStr">
        <is>
          <t>Every price and cap rate below is illustrative. The per-unit price is a round number chosen to sit inside the band a real per-unit sale price occupies; it is not a quote, an offer, or a broker's guidance.</t>
        </is>
      </c>
    </row>
    <row r="46">
      <c r="A46" s="5" t="inlineStr">
        <is>
          <t>Unit count</t>
        </is>
      </c>
      <c r="B46" s="6" t="n">
        <v>180</v>
      </c>
    </row>
    <row r="47">
      <c r="A47" s="5" t="inlineStr">
        <is>
          <t>Total purchase price</t>
        </is>
      </c>
      <c r="B47" s="6">
        <f>B45*B46</f>
        <v/>
      </c>
    </row>
    <row r="49">
      <c r="A49" s="5" t="inlineStr">
        <is>
          <t>T-12 revenue</t>
        </is>
      </c>
      <c r="B49" s="6">
        <f>'P&amp;L Summary'!B16</f>
        <v/>
      </c>
    </row>
    <row r="50">
      <c r="A50" s="5" t="inlineStr">
        <is>
          <t>T-12 operating expenses</t>
        </is>
      </c>
      <c r="B50" s="6">
        <f>'P&amp;L Summary'!B29</f>
        <v/>
      </c>
    </row>
    <row r="51">
      <c r="A51" s="5" t="inlineStr">
        <is>
          <t>T-12 net operating income</t>
        </is>
      </c>
      <c r="B51" s="6">
        <f>'P&amp;L Summary'!B30</f>
        <v/>
      </c>
    </row>
    <row r="52">
      <c r="A52" s="5" t="inlineStr">
        <is>
          <t>T-12 cap rate (illustrative)</t>
        </is>
      </c>
      <c r="B52" s="21">
        <f>IFERROR(B51/B47,"")</f>
        <v/>
      </c>
    </row>
    <row r="54">
      <c r="A54" s="5" t="inlineStr">
        <is>
          <t>T-3 annualized revenue</t>
        </is>
      </c>
      <c r="B54" s="6">
        <f>'P&amp;L Summary'!C16</f>
        <v/>
      </c>
    </row>
    <row r="55">
      <c r="A55" s="5" t="inlineStr">
        <is>
          <t>T-3 annualized operating expenses</t>
        </is>
      </c>
      <c r="B55" s="6">
        <f>'P&amp;L Summary'!C29</f>
        <v/>
      </c>
    </row>
    <row r="56">
      <c r="A56" s="5" t="inlineStr">
        <is>
          <t>T-3 annualized net operating income</t>
        </is>
      </c>
      <c r="B56" s="6">
        <f>'P&amp;L Summary'!C30</f>
        <v/>
      </c>
    </row>
    <row r="57">
      <c r="A57" s="5" t="inlineStr">
        <is>
          <t>T-3 annualized cap rate (illustrative)</t>
        </is>
      </c>
      <c r="B57" s="21">
        <f>IFERROR(B56/B47,"")</f>
        <v/>
      </c>
    </row>
    <row r="59">
      <c r="A59" s="5" t="inlineStr">
        <is>
          <t>Broker pro forma revenue</t>
        </is>
      </c>
      <c r="B59" s="6" t="n">
        <v>4051427.88</v>
      </c>
      <c r="C59" s="20" t="inlineStr">
        <is>
          <t>Kept in its own block; never merged into the T-12.</t>
        </is>
      </c>
    </row>
    <row r="60">
      <c r="A60" s="5" t="inlineStr">
        <is>
          <t>Broker pro forma operating expenses</t>
        </is>
      </c>
      <c r="B60" s="6" t="n">
        <v>1718834.16</v>
      </c>
    </row>
    <row r="61">
      <c r="A61" s="5" t="inlineStr">
        <is>
          <t>Broker pro forma net operating income</t>
        </is>
      </c>
      <c r="B61" s="6" t="n">
        <v>2332593.72</v>
      </c>
    </row>
    <row r="62">
      <c r="A62" s="5" t="inlineStr">
        <is>
          <t>Broker pro forma cap rate (illustrative)</t>
        </is>
      </c>
      <c r="B62" s="21">
        <f>IFERROR(B61/B47,"")</f>
        <v/>
      </c>
    </row>
    <row r="64">
      <c r="A64" s="16" t="inlineStr">
        <is>
          <t>Revenue trend</t>
        </is>
      </c>
      <c r="B64" s="16" t="n"/>
      <c r="C64" s="16" t="n"/>
      <c r="D64" s="16" t="n"/>
      <c r="E64" s="16" t="n"/>
      <c r="F64" s="16" t="n"/>
    </row>
    <row r="65">
      <c r="A65" s="5" t="inlineStr">
        <is>
          <t>T-12 revenue</t>
        </is>
      </c>
      <c r="B65" s="6">
        <f>'P&amp;L Summary'!B16</f>
        <v/>
      </c>
    </row>
    <row r="66">
      <c r="A66" s="5" t="inlineStr">
        <is>
          <t>T-6 revenue (annualized)</t>
        </is>
      </c>
      <c r="B66" s="6">
        <f>SUM('T-12 Data'!I39:N39)*2</f>
        <v/>
      </c>
      <c r="C66" s="20" t="inlineStr">
        <is>
          <t>Trailing six months times two, off the T-12 Data tab's computed revenue row.</t>
        </is>
      </c>
    </row>
    <row r="67">
      <c r="A67" s="5" t="inlineStr">
        <is>
          <t>T-3 revenue (annualized)</t>
        </is>
      </c>
      <c r="B67" s="6">
        <f>'P&amp;L Summary'!C16</f>
        <v/>
      </c>
    </row>
    <row r="68">
      <c r="A68" s="5" t="inlineStr">
        <is>
          <t>T-3 versus T-12</t>
        </is>
      </c>
      <c r="B68" s="19">
        <f>IFERROR(B67/B49-1,"")</f>
        <v/>
      </c>
      <c r="C68" s="20" t="inlineStr">
        <is>
          <t>Positive means the trailing three months are running ahead of the year.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34" customWidth="1" min="3" max="3"/>
    <col width="26" customWidth="1" min="4" max="4"/>
    <col width="11" customWidth="1" min="5" max="5"/>
    <col width="34" customWidth="1" min="6" max="6"/>
    <col width="62" customWidth="1" min="7" max="7"/>
  </cols>
  <sheetData>
    <row r="1">
      <c r="A1" s="1" t="inlineStr">
        <is>
          <t>Audit trail</t>
        </is>
      </c>
    </row>
    <row r="2">
      <c r="A2" s="2" t="inlineStr">
        <is>
          <t>Fixture Park — as of 2026-06-30</t>
        </is>
      </c>
    </row>
    <row r="3">
      <c r="A3" s="2" t="inlineStr">
        <is>
          <t>T-12 data, the P&amp;L rollup and pricing. Every value below names the document it came from and where in it. A derived value names the values it was built from — one that could not would not have passed validation.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0" t="inlineStr">
        <is>
          <t>Stamped values in this workbook</t>
        </is>
      </c>
      <c r="B5" s="13" t="n">
        <v>5</v>
      </c>
    </row>
    <row r="6">
      <c r="A6" s="10" t="inlineStr">
        <is>
          <t>Coverage of the required set</t>
        </is>
      </c>
      <c r="B6" t="inlineStr">
        <is>
          <t>52/52 (100%)</t>
        </is>
      </c>
    </row>
    <row r="8">
      <c r="A8" s="4" t="inlineStr">
        <is>
          <t>Value</t>
        </is>
      </c>
      <c r="B8" s="4" t="inlineStr">
        <is>
          <t>Value as published</t>
        </is>
      </c>
      <c r="C8" s="4" t="inlineStr">
        <is>
          <t>Source document</t>
        </is>
      </c>
      <c r="D8" s="4" t="inlineStr">
        <is>
          <t>Where in it</t>
        </is>
      </c>
      <c r="E8" s="4" t="inlineStr">
        <is>
          <t>How</t>
        </is>
      </c>
      <c r="F8" s="4" t="inlineStr">
        <is>
          <t>Built from</t>
        </is>
      </c>
      <c r="G8" s="4" t="inlineStr">
        <is>
          <t>Supporting quote / note</t>
        </is>
      </c>
    </row>
    <row r="9">
      <c r="A9" s="22" t="inlineStr">
        <is>
          <t>pricing.price_per_unit</t>
        </is>
      </c>
      <c r="B9" s="5" t="inlineStr">
        <is>
          <t>215,000</t>
        </is>
      </c>
      <c r="C9" s="5" t="inlineStr">
        <is>
          <t>Supplied by the operator</t>
        </is>
      </c>
      <c r="D9" s="5" t="inlineStr">
        <is>
          <t>—</t>
        </is>
      </c>
      <c r="E9" s="5" t="inlineStr">
        <is>
          <t>read</t>
        </is>
      </c>
      <c r="F9" s="17" t="n"/>
      <c r="G9" s="18" t="inlineStr">
        <is>
          <t>Illustrative. Inside the band a per-unit sale price occupies.</t>
        </is>
      </c>
    </row>
    <row r="10">
      <c r="A10" s="22" t="inlineStr">
        <is>
          <t>pricing.unit_count</t>
        </is>
      </c>
      <c r="B10" s="5" t="inlineStr">
        <is>
          <t>180</t>
        </is>
      </c>
      <c r="C10" s="5" t="inlineStr">
        <is>
          <t>Synthetic rent roll export</t>
        </is>
      </c>
      <c r="D10" s="5" t="inlineStr">
        <is>
          <t>Rent Roll!A:A</t>
        </is>
      </c>
      <c r="E10" s="5" t="inlineStr">
        <is>
          <t>derived</t>
        </is>
      </c>
      <c r="F10" s="5" t="inlineStr">
        <is>
          <t>summary.unit_count</t>
        </is>
      </c>
      <c r="G10" s="23" t="n"/>
    </row>
    <row r="11">
      <c r="A11" s="22" t="inlineStr">
        <is>
          <t>t12.month_labels</t>
        </is>
      </c>
      <c r="B11" s="5" t="inlineStr">
        <is>
          <t>12 entries</t>
        </is>
      </c>
      <c r="C11" s="5" t="inlineStr">
        <is>
          <t>Synthetic trailing-twelve income statement</t>
        </is>
      </c>
      <c r="D11" s="5" t="inlineStr">
        <is>
          <t>T-12!C8:N8</t>
        </is>
      </c>
      <c r="E11" s="5" t="inlineStr">
        <is>
          <t>read</t>
        </is>
      </c>
      <c r="F11" s="17" t="n"/>
      <c r="G11" s="18" t="inlineStr">
        <is>
          <t>Twelve consecutive month-end columns; direction detected from the labels.</t>
        </is>
      </c>
    </row>
    <row r="12">
      <c r="A12" s="22" t="inlineStr">
        <is>
          <t>t12.source_subtotals</t>
        </is>
      </c>
      <c r="B12" s="5" t="inlineStr">
        <is>
          <t>5 keys</t>
        </is>
      </c>
      <c r="C12" s="5" t="inlineStr">
        <is>
          <t>Synthetic trailing-twelve income statement</t>
        </is>
      </c>
      <c r="D12" s="5" t="inlineStr">
        <is>
          <t>T-12!O</t>
        </is>
      </c>
      <c r="E12" s="5" t="inlineStr">
        <is>
          <t>read</t>
        </is>
      </c>
      <c r="F12" s="17" t="n"/>
      <c r="G12" s="18" t="inlineStr">
        <is>
          <t>The statement's own printed subtotals, kept for the cross-tie.</t>
        </is>
      </c>
    </row>
    <row r="13">
      <c r="A13" s="22" t="inlineStr">
        <is>
          <t>t12.units</t>
        </is>
      </c>
      <c r="B13" s="5" t="inlineStr">
        <is>
          <t>180</t>
        </is>
      </c>
      <c r="C13" s="5" t="inlineStr">
        <is>
          <t>Synthetic rent roll export</t>
        </is>
      </c>
      <c r="D13" s="5" t="inlineStr">
        <is>
          <t>—</t>
        </is>
      </c>
      <c r="E13" s="5" t="inlineStr">
        <is>
          <t>derived</t>
        </is>
      </c>
      <c r="F13" s="5" t="inlineStr">
        <is>
          <t>summary.unit_count</t>
        </is>
      </c>
      <c r="G13" s="2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AI Underwriting Pipeline</dc:creator>
  <dcterms:created xsi:type="dcterms:W3CDTF">2026-09-01T00:00:00Z</dcterms:created>
  <dcterms:modified xsi:type="dcterms:W3CDTF">2026-09-01T00:00:00Z</dcterms:modified>
  <cp:lastModifiedBy>AI Underwriting Pipeline</cp:lastModifiedBy>
</cp:coreProperties>
</file>