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0" fontId="4" fillId="0" borderId="0" pivotButton="0" quotePrefix="0" xfId="0"/>
    <xf numFmtId="3" fontId="4" fillId="0" borderId="0" pivotButton="0" quotePrefix="0" xfId="0"/>
    <xf numFmtId="49" fontId="4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49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7">
        <f>SUM(C6:N6)</f>
        <v/>
      </c>
      <c r="P6" s="7">
        <f>SUM(L6:N6)</f>
        <v/>
      </c>
    </row>
    <row r="7">
      <c r="A7" s="5" t="inlineStr">
        <is>
          <t>Loss to Lease</t>
        </is>
      </c>
      <c r="B7" s="5" t="inlineStr">
        <is>
          <t>Gain/(Loss)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7">
        <f>SUM(C7:N7)</f>
        <v/>
      </c>
      <c r="P7" s="7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7">
        <f>SUM(C8:N8)</f>
        <v/>
      </c>
      <c r="P8" s="7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7">
        <f>SUM(C9:N9)</f>
        <v/>
      </c>
      <c r="P9" s="7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7">
        <f>SUM(C10:N10)</f>
        <v/>
      </c>
      <c r="P10" s="7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7">
        <f>SUM(C11:N11)</f>
        <v/>
      </c>
      <c r="P11" s="7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7">
        <f>SUM(C12:N12)</f>
        <v/>
      </c>
      <c r="P12" s="7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7">
        <f>SUM(C13:N13)</f>
        <v/>
      </c>
      <c r="P13" s="7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7">
        <f>SUM(C14:N14)</f>
        <v/>
      </c>
      <c r="P14" s="7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7">
        <f>SUM(C15:N15)</f>
        <v/>
      </c>
      <c r="P15" s="7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7">
        <f>SUM(C16:N16)</f>
        <v/>
      </c>
      <c r="P16" s="7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7">
        <f>SUM(C17:N17)</f>
        <v/>
      </c>
      <c r="P17" s="7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7">
        <f>SUM(C18:N18)</f>
        <v/>
      </c>
      <c r="P18" s="7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7">
        <f>SUM(C19:N19)</f>
        <v/>
      </c>
      <c r="P19" s="7">
        <f>SUM(L19:N19)</f>
        <v/>
      </c>
    </row>
    <row r="20">
      <c r="A20" s="5" t="inlineStr">
        <is>
          <t>Administrative</t>
        </is>
      </c>
      <c r="B20" s="5" t="inlineStr">
        <is>
          <t>G&amp;A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7">
        <f>SUM(C20:N20)</f>
        <v/>
      </c>
      <c r="P20" s="7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7">
        <f>SUM(C21:N21)</f>
        <v/>
      </c>
      <c r="P21" s="7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7">
        <f>SUM(C22:N22)</f>
        <v/>
      </c>
      <c r="P22" s="7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7">
        <f>SUM(C23:N23)</f>
        <v/>
      </c>
      <c r="P23" s="7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7">
        <f>SUM(C24:N24)</f>
        <v/>
      </c>
      <c r="P24" s="7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7">
        <f>SUM(C25:N25)</f>
        <v/>
      </c>
      <c r="P25" s="7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7">
        <f>SUM(C26:N26)</f>
        <v/>
      </c>
      <c r="P26" s="7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7">
        <f>SUM(C27:N27)</f>
        <v/>
      </c>
      <c r="P27" s="7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7">
        <f>SUM(C28:N28)</f>
        <v/>
      </c>
      <c r="P28" s="7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7">
        <f>SUM(C29:N29)</f>
        <v/>
      </c>
      <c r="P29" s="7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7">
        <f>SUM(C30:N30)</f>
        <v/>
      </c>
      <c r="P30" s="7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7">
        <f>SUM(C31:N31)</f>
        <v/>
      </c>
      <c r="P31" s="7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7">
        <f>SUM(C32:N32)</f>
        <v/>
      </c>
      <c r="P32" s="7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7">
        <f>SUM(C33:N33)</f>
        <v/>
      </c>
      <c r="P33" s="7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7">
        <f>SUM(C34:N34)</f>
        <v/>
      </c>
      <c r="P34" s="7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7">
        <f>SUM(C35:N35)</f>
        <v/>
      </c>
      <c r="P35" s="7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7">
        <f>SUM(C36:N36)</f>
        <v/>
      </c>
      <c r="P36" s="7">
        <f>SUM(L36:N36)</f>
        <v/>
      </c>
    </row>
    <row r="37">
      <c r="A37" s="8" t="inlineStr">
        <is>
          <t>Total Revenue (per statement)</t>
        </is>
      </c>
      <c r="B37" s="8" t="inlineStr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10">
        <f>SUM(C37:N37)</f>
        <v/>
      </c>
      <c r="P37" s="10">
        <f>SUM(L37:N37)</f>
        <v/>
      </c>
    </row>
    <row r="39">
      <c r="A39" s="11" t="inlineStr">
        <is>
          <t>Monthly revenue (computed)</t>
        </is>
      </c>
      <c r="B39" s="2" t="inlineStr">
        <is>
          <t>derived</t>
        </is>
      </c>
      <c r="C39" s="12">
        <f>IF(SUMIF($B$6:$B$37,"Gross Scheduled Rent",C$6:C$37)&lt;&gt;0,SUMIF($B$6:$B$37,"Gross Scheduled Rent",C$6:C$37),SUMIF($B$6:$B$37,"Gross Potential Rent",C$6:C$37)+SUMIF($B$6:$B$37,"Gain/(Loss)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2">
        <f>IF(SUMIF($B$6:$B$37,"Gross Scheduled Rent",D$6:D$37)&lt;&gt;0,SUMIF($B$6:$B$37,"Gross Scheduled Rent",D$6:D$37),SUMIF($B$6:$B$37,"Gross Potential Rent",D$6:D$37)+SUMIF($B$6:$B$37,"Gain/(Loss)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2">
        <f>IF(SUMIF($B$6:$B$37,"Gross Scheduled Rent",E$6:E$37)&lt;&gt;0,SUMIF($B$6:$B$37,"Gross Scheduled Rent",E$6:E$37),SUMIF($B$6:$B$37,"Gross Potential Rent",E$6:E$37)+SUMIF($B$6:$B$37,"Gain/(Loss)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2">
        <f>IF(SUMIF($B$6:$B$37,"Gross Scheduled Rent",F$6:F$37)&lt;&gt;0,SUMIF($B$6:$B$37,"Gross Scheduled Rent",F$6:F$37),SUMIF($B$6:$B$37,"Gross Potential Rent",F$6:F$37)+SUMIF($B$6:$B$37,"Gain/(Loss)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2">
        <f>IF(SUMIF($B$6:$B$37,"Gross Scheduled Rent",G$6:G$37)&lt;&gt;0,SUMIF($B$6:$B$37,"Gross Scheduled Rent",G$6:G$37),SUMIF($B$6:$B$37,"Gross Potential Rent",G$6:G$37)+SUMIF($B$6:$B$37,"Gain/(Loss)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2">
        <f>IF(SUMIF($B$6:$B$37,"Gross Scheduled Rent",H$6:H$37)&lt;&gt;0,SUMIF($B$6:$B$37,"Gross Scheduled Rent",H$6:H$37),SUMIF($B$6:$B$37,"Gross Potential Rent",H$6:H$37)+SUMIF($B$6:$B$37,"Gain/(Loss)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2">
        <f>IF(SUMIF($B$6:$B$37,"Gross Scheduled Rent",I$6:I$37)&lt;&gt;0,SUMIF($B$6:$B$37,"Gross Scheduled Rent",I$6:I$37),SUMIF($B$6:$B$37,"Gross Potential Rent",I$6:I$37)+SUMIF($B$6:$B$37,"Gain/(Loss)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2">
        <f>IF(SUMIF($B$6:$B$37,"Gross Scheduled Rent",J$6:J$37)&lt;&gt;0,SUMIF($B$6:$B$37,"Gross Scheduled Rent",J$6:J$37),SUMIF($B$6:$B$37,"Gross Potential Rent",J$6:J$37)+SUMIF($B$6:$B$37,"Gain/(Loss)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2">
        <f>IF(SUMIF($B$6:$B$37,"Gross Scheduled Rent",K$6:K$37)&lt;&gt;0,SUMIF($B$6:$B$37,"Gross Scheduled Rent",K$6:K$37),SUMIF($B$6:$B$37,"Gross Potential Rent",K$6:K$37)+SUMIF($B$6:$B$37,"Gain/(Loss)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2">
        <f>IF(SUMIF($B$6:$B$37,"Gross Scheduled Rent",L$6:L$37)&lt;&gt;0,SUMIF($B$6:$B$37,"Gross Scheduled Rent",L$6:L$37),SUMIF($B$6:$B$37,"Gross Potential Rent",L$6:L$37)+SUMIF($B$6:$B$37,"Gain/(Loss)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2">
        <f>IF(SUMIF($B$6:$B$37,"Gross Scheduled Rent",M$6:M$37)&lt;&gt;0,SUMIF($B$6:$B$37,"Gross Scheduled Rent",M$6:M$37),SUMIF($B$6:$B$37,"Gross Potential Rent",M$6:M$37)+SUMIF($B$6:$B$37,"Gain/(Loss)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2">
        <f>IF(SUMIF($B$6:$B$37,"Gross Scheduled Rent",N$6:N$37)&lt;&gt;0,SUMIF($B$6:$B$37,"Gross Scheduled Rent",N$6:N$37),SUMIF($B$6:$B$37,"Gross Potential Rent",N$6:N$37)+SUMIF($B$6:$B$37,"Gain/(Loss)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2">
        <f>SUM(C39:N39)</f>
        <v/>
      </c>
      <c r="P39" s="12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3" t="inlineStr">
        <is>
          <t>Gross Potential Rent</t>
        </is>
      </c>
      <c r="B6" s="14">
        <f>SUMIF('T-12 Data'!$B$6:$B$37,$A6,'T-12 Data'!$O$6:$O$37)</f>
        <v/>
      </c>
      <c r="C6" s="14">
        <f>SUMIF('T-12 Data'!$B$6:$B$37,$A6,'T-12 Data'!$P$6:$P$37)*4</f>
        <v/>
      </c>
      <c r="D6" s="14">
        <f>IFERROR(B6/180,"")</f>
        <v/>
      </c>
      <c r="E6" s="15">
        <f>IFERROR(B6/B16,"")</f>
        <v/>
      </c>
    </row>
    <row r="7">
      <c r="A7" s="13" t="inlineStr">
        <is>
          <t>Gain/(Loss) to Lease</t>
        </is>
      </c>
      <c r="B7" s="14">
        <f>SUMIF('T-12 Data'!$B$6:$B$37,$A7,'T-12 Data'!$O$6:$O$37)</f>
        <v/>
      </c>
      <c r="C7" s="14">
        <f>SUMIF('T-12 Data'!$B$6:$B$37,$A7,'T-12 Data'!$P$6:$P$37)*4</f>
        <v/>
      </c>
      <c r="D7" s="14">
        <f>IFERROR(B7/180,"")</f>
        <v/>
      </c>
      <c r="E7" s="15">
        <f>IFERROR(B7/B16,"")</f>
        <v/>
      </c>
    </row>
    <row r="8">
      <c r="A8" s="8" t="inlineStr">
        <is>
          <t>Gross Scheduled Rent</t>
        </is>
      </c>
      <c r="B8" s="9">
        <f>IF(SUMIF('T-12 Data'!$B$6:$B$37,$A8,'T-12 Data'!$O$6:$O$37)&lt;&gt;0,SUMIF('T-12 Data'!$B$6:$B$37,$A8,'T-12 Data'!$O$6:$O$37),B6+B7)</f>
        <v/>
      </c>
      <c r="C8" s="9">
        <f>IF(SUMIF('T-12 Data'!$B$6:$B$37,$A8,'T-12 Data'!$P$6:$P$37)&lt;&gt;0,SUMIF('T-12 Data'!$B$6:$B$37,$A8,'T-12 Data'!$P$6:$P$37)*4,(C6+C7))</f>
        <v/>
      </c>
      <c r="D8" s="9">
        <f>IFERROR(B8/180,"")</f>
        <v/>
      </c>
      <c r="E8" s="16">
        <f>IFERROR(B8/B16,"")</f>
        <v/>
      </c>
    </row>
    <row r="9">
      <c r="A9" s="13" t="inlineStr">
        <is>
          <t>Vacancy</t>
        </is>
      </c>
      <c r="B9" s="14">
        <f>SUMIF('T-12 Data'!$B$6:$B$37,$A9,'T-12 Data'!$O$6:$O$37)</f>
        <v/>
      </c>
      <c r="C9" s="14">
        <f>SUMIF('T-12 Data'!$B$6:$B$37,$A9,'T-12 Data'!$P$6:$P$37)*4</f>
        <v/>
      </c>
      <c r="D9" s="14">
        <f>IFERROR(B9/180,"")</f>
        <v/>
      </c>
      <c r="E9" s="15">
        <f>IFERROR(B9/B16,"")</f>
        <v/>
      </c>
    </row>
    <row r="10">
      <c r="A10" s="13" t="inlineStr">
        <is>
          <t>Concessions</t>
        </is>
      </c>
      <c r="B10" s="14">
        <f>SUMIF('T-12 Data'!$B$6:$B$37,$A10,'T-12 Data'!$O$6:$O$37)</f>
        <v/>
      </c>
      <c r="C10" s="14">
        <f>SUMIF('T-12 Data'!$B$6:$B$37,$A10,'T-12 Data'!$P$6:$P$37)*4</f>
        <v/>
      </c>
      <c r="D10" s="14">
        <f>IFERROR(B10/180,"")</f>
        <v/>
      </c>
      <c r="E10" s="15">
        <f>IFERROR(B10/B16,"")</f>
        <v/>
      </c>
    </row>
    <row r="11">
      <c r="A11" s="13" t="inlineStr">
        <is>
          <t>Non-Revenue Units</t>
        </is>
      </c>
      <c r="B11" s="14">
        <f>SUMIF('T-12 Data'!$B$6:$B$37,$A11,'T-12 Data'!$O$6:$O$37)</f>
        <v/>
      </c>
      <c r="C11" s="14">
        <f>SUMIF('T-12 Data'!$B$6:$B$37,$A11,'T-12 Data'!$P$6:$P$37)*4</f>
        <v/>
      </c>
      <c r="D11" s="14">
        <f>IFERROR(B11/180,"")</f>
        <v/>
      </c>
      <c r="E11" s="15">
        <f>IFERROR(B11/B16,"")</f>
        <v/>
      </c>
    </row>
    <row r="12">
      <c r="A12" s="13" t="inlineStr">
        <is>
          <t>Delinquency</t>
        </is>
      </c>
      <c r="B12" s="14">
        <f>SUMIF('T-12 Data'!$B$6:$B$37,$A12,'T-12 Data'!$O$6:$O$37)</f>
        <v/>
      </c>
      <c r="C12" s="14">
        <f>SUMIF('T-12 Data'!$B$6:$B$37,$A12,'T-12 Data'!$P$6:$P$37)*4</f>
        <v/>
      </c>
      <c r="D12" s="14">
        <f>IFERROR(B12/180,"")</f>
        <v/>
      </c>
      <c r="E12" s="15">
        <f>IFERROR(B12/B16,"")</f>
        <v/>
      </c>
    </row>
    <row r="13">
      <c r="A13" s="13" t="inlineStr">
        <is>
          <t>Utility Reimbursements</t>
        </is>
      </c>
      <c r="B13" s="14">
        <f>SUMIF('T-12 Data'!$B$6:$B$37,$A13,'T-12 Data'!$O$6:$O$37)</f>
        <v/>
      </c>
      <c r="C13" s="14">
        <f>SUMIF('T-12 Data'!$B$6:$B$37,$A13,'T-12 Data'!$P$6:$P$37)*4</f>
        <v/>
      </c>
      <c r="D13" s="14">
        <f>IFERROR(B13/180,"")</f>
        <v/>
      </c>
      <c r="E13" s="15">
        <f>IFERROR(B13/B16,"")</f>
        <v/>
      </c>
    </row>
    <row r="14">
      <c r="A14" s="13" t="inlineStr">
        <is>
          <t>Other Income</t>
        </is>
      </c>
      <c r="B14" s="14">
        <f>SUMIF('T-12 Data'!$B$6:$B$37,$A14,'T-12 Data'!$O$6:$O$37)</f>
        <v/>
      </c>
      <c r="C14" s="14">
        <f>SUMIF('T-12 Data'!$B$6:$B$37,$A14,'T-12 Data'!$P$6:$P$37)*4</f>
        <v/>
      </c>
      <c r="D14" s="14">
        <f>IFERROR(B14/180,"")</f>
        <v/>
      </c>
      <c r="E14" s="15">
        <f>IFERROR(B14/B16,"")</f>
        <v/>
      </c>
    </row>
    <row r="15">
      <c r="A15" s="13" t="inlineStr">
        <is>
          <t>Revenue Adjustments</t>
        </is>
      </c>
      <c r="B15" s="14">
        <f>SUMIF('T-12 Data'!$B$6:$B$37,$A15,'T-12 Data'!$O$6:$O$37)</f>
        <v/>
      </c>
      <c r="C15" s="14">
        <f>SUMIF('T-12 Data'!$B$6:$B$37,$A15,'T-12 Data'!$P$6:$P$37)*4</f>
        <v/>
      </c>
      <c r="D15" s="14">
        <f>IFERROR(B15/180,"")</f>
        <v/>
      </c>
      <c r="E15" s="15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6">
        <f>IFERROR(B16/B16,"")</f>
        <v/>
      </c>
    </row>
    <row r="17">
      <c r="A17" s="13" t="inlineStr">
        <is>
          <t>G&amp;A</t>
        </is>
      </c>
      <c r="B17" s="14">
        <f>SUMIF('T-12 Data'!$B$6:$B$37,$A17,'T-12 Data'!$O$6:$O$37)</f>
        <v/>
      </c>
      <c r="C17" s="14">
        <f>SUMIF('T-12 Data'!$B$6:$B$37,$A17,'T-12 Data'!$P$6:$P$37)*4</f>
        <v/>
      </c>
      <c r="D17" s="14">
        <f>IFERROR(B17/180,"")</f>
        <v/>
      </c>
      <c r="E17" s="15">
        <f>IFERROR(B17/B16,"")</f>
        <v/>
      </c>
    </row>
    <row r="18">
      <c r="A18" s="13" t="inlineStr">
        <is>
          <t>Leasing and Marketing</t>
        </is>
      </c>
      <c r="B18" s="14">
        <f>SUMIF('T-12 Data'!$B$6:$B$37,$A18,'T-12 Data'!$O$6:$O$37)</f>
        <v/>
      </c>
      <c r="C18" s="14">
        <f>SUMIF('T-12 Data'!$B$6:$B$37,$A18,'T-12 Data'!$P$6:$P$37)*4</f>
        <v/>
      </c>
      <c r="D18" s="14">
        <f>IFERROR(B18/180,"")</f>
        <v/>
      </c>
      <c r="E18" s="15">
        <f>IFERROR(B18/B16,"")</f>
        <v/>
      </c>
    </row>
    <row r="19">
      <c r="A19" s="13" t="inlineStr">
        <is>
          <t>Payroll</t>
        </is>
      </c>
      <c r="B19" s="14">
        <f>SUMIF('T-12 Data'!$B$6:$B$37,$A19,'T-12 Data'!$O$6:$O$37)</f>
        <v/>
      </c>
      <c r="C19" s="14">
        <f>SUMIF('T-12 Data'!$B$6:$B$37,$A19,'T-12 Data'!$P$6:$P$37)*4</f>
        <v/>
      </c>
      <c r="D19" s="14">
        <f>IFERROR(B19/180,"")</f>
        <v/>
      </c>
      <c r="E19" s="15">
        <f>IFERROR(B19/B16,"")</f>
        <v/>
      </c>
    </row>
    <row r="20">
      <c r="A20" s="13" t="inlineStr">
        <is>
          <t>Insurance</t>
        </is>
      </c>
      <c r="B20" s="14">
        <f>SUMIF('T-12 Data'!$B$6:$B$37,$A20,'T-12 Data'!$O$6:$O$37)</f>
        <v/>
      </c>
      <c r="C20" s="14">
        <f>SUMIF('T-12 Data'!$B$6:$B$37,$A20,'T-12 Data'!$P$6:$P$37)*4</f>
        <v/>
      </c>
      <c r="D20" s="14">
        <f>IFERROR(B20/180,"")</f>
        <v/>
      </c>
      <c r="E20" s="15">
        <f>IFERROR(B20/B16,"")</f>
        <v/>
      </c>
    </row>
    <row r="21">
      <c r="A21" s="13" t="inlineStr">
        <is>
          <t>Property Taxes</t>
        </is>
      </c>
      <c r="B21" s="14">
        <f>SUMIF('T-12 Data'!$B$6:$B$37,$A21,'T-12 Data'!$O$6:$O$37)</f>
        <v/>
      </c>
      <c r="C21" s="14">
        <f>SUMIF('T-12 Data'!$B$6:$B$37,$A21,'T-12 Data'!$P$6:$P$37)*4</f>
        <v/>
      </c>
      <c r="D21" s="14">
        <f>IFERROR(B21/180,"")</f>
        <v/>
      </c>
      <c r="E21" s="15">
        <f>IFERROR(B21/B16,"")</f>
        <v/>
      </c>
    </row>
    <row r="22">
      <c r="A22" s="13" t="inlineStr">
        <is>
          <t>Legal and Professional</t>
        </is>
      </c>
      <c r="B22" s="14">
        <f>SUMIF('T-12 Data'!$B$6:$B$37,$A22,'T-12 Data'!$O$6:$O$37)</f>
        <v/>
      </c>
      <c r="C22" s="14">
        <f>SUMIF('T-12 Data'!$B$6:$B$37,$A22,'T-12 Data'!$P$6:$P$37)*4</f>
        <v/>
      </c>
      <c r="D22" s="14">
        <f>IFERROR(B22/180,"")</f>
        <v/>
      </c>
      <c r="E22" s="15">
        <f>IFERROR(B22/B16,"")</f>
        <v/>
      </c>
    </row>
    <row r="23">
      <c r="A23" s="13" t="inlineStr">
        <is>
          <t>Management Fee</t>
        </is>
      </c>
      <c r="B23" s="14">
        <f>SUMIF('T-12 Data'!$B$6:$B$37,$A23,'T-12 Data'!$O$6:$O$37)</f>
        <v/>
      </c>
      <c r="C23" s="14">
        <f>SUMIF('T-12 Data'!$B$6:$B$37,$A23,'T-12 Data'!$P$6:$P$37)*4</f>
        <v/>
      </c>
      <c r="D23" s="14">
        <f>IFERROR(B23/180,"")</f>
        <v/>
      </c>
      <c r="E23" s="15">
        <f>IFERROR(B23/B16,"")</f>
        <v/>
      </c>
    </row>
    <row r="24">
      <c r="A24" s="13" t="inlineStr">
        <is>
          <t>Landscaping</t>
        </is>
      </c>
      <c r="B24" s="14">
        <f>SUMIF('T-12 Data'!$B$6:$B$37,$A24,'T-12 Data'!$O$6:$O$37)</f>
        <v/>
      </c>
      <c r="C24" s="14">
        <f>SUMIF('T-12 Data'!$B$6:$B$37,$A24,'T-12 Data'!$P$6:$P$37)*4</f>
        <v/>
      </c>
      <c r="D24" s="14">
        <f>IFERROR(B24/180,"")</f>
        <v/>
      </c>
      <c r="E24" s="15">
        <f>IFERROR(B24/B16,"")</f>
        <v/>
      </c>
    </row>
    <row r="25">
      <c r="A25" s="13" t="inlineStr">
        <is>
          <t>Repairs and Maintenance</t>
        </is>
      </c>
      <c r="B25" s="14">
        <f>SUMIF('T-12 Data'!$B$6:$B$37,$A25,'T-12 Data'!$O$6:$O$37)</f>
        <v/>
      </c>
      <c r="C25" s="14">
        <f>SUMIF('T-12 Data'!$B$6:$B$37,$A25,'T-12 Data'!$P$6:$P$37)*4</f>
        <v/>
      </c>
      <c r="D25" s="14">
        <f>IFERROR(B25/180,"")</f>
        <v/>
      </c>
      <c r="E25" s="15">
        <f>IFERROR(B25/B16,"")</f>
        <v/>
      </c>
    </row>
    <row r="26">
      <c r="A26" s="13" t="inlineStr">
        <is>
          <t>Unit Turns</t>
        </is>
      </c>
      <c r="B26" s="14">
        <f>SUMIF('T-12 Data'!$B$6:$B$37,$A26,'T-12 Data'!$O$6:$O$37)</f>
        <v/>
      </c>
      <c r="C26" s="14">
        <f>SUMIF('T-12 Data'!$B$6:$B$37,$A26,'T-12 Data'!$P$6:$P$37)*4</f>
        <v/>
      </c>
      <c r="D26" s="14">
        <f>IFERROR(B26/180,"")</f>
        <v/>
      </c>
      <c r="E26" s="15">
        <f>IFERROR(B26/B16,"")</f>
        <v/>
      </c>
    </row>
    <row r="27">
      <c r="A27" s="13" t="inlineStr">
        <is>
          <t>Utilities</t>
        </is>
      </c>
      <c r="B27" s="14">
        <f>SUMIF('T-12 Data'!$B$6:$B$37,$A27,'T-12 Data'!$O$6:$O$37)</f>
        <v/>
      </c>
      <c r="C27" s="14">
        <f>SUMIF('T-12 Data'!$B$6:$B$37,$A27,'T-12 Data'!$P$6:$P$37)*4</f>
        <v/>
      </c>
      <c r="D27" s="14">
        <f>IFERROR(B27/180,"")</f>
        <v/>
      </c>
      <c r="E27" s="15">
        <f>IFERROR(B27/B16,"")</f>
        <v/>
      </c>
    </row>
    <row r="28">
      <c r="A28" s="13" t="inlineStr">
        <is>
          <t>Expense Adjustments</t>
        </is>
      </c>
      <c r="B28" s="14">
        <f>SUMIF('T-12 Data'!$B$6:$B$37,$A28,'T-12 Data'!$O$6:$O$37)</f>
        <v/>
      </c>
      <c r="C28" s="14">
        <f>SUMIF('T-12 Data'!$B$6:$B$37,$A28,'T-12 Data'!$P$6:$P$37)*4</f>
        <v/>
      </c>
      <c r="D28" s="14">
        <f>IFERROR(B28/180,"")</f>
        <v/>
      </c>
      <c r="E28" s="15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6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6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7" t="inlineStr">
        <is>
          <t>Other Income — top 4 plus rest</t>
        </is>
      </c>
      <c r="B34" s="17" t="n"/>
      <c r="C34" s="17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8" t="inlineStr">
        <is>
          <t>Total other income</t>
        </is>
      </c>
      <c r="B41" s="10">
        <f>'P&amp;L Summary'!B14</f>
        <v/>
      </c>
      <c r="C41" s="10">
        <f>'P&amp;L Summary'!C14</f>
        <v/>
      </c>
    </row>
    <row r="43">
      <c r="A43" s="17" t="inlineStr">
        <is>
          <t>Utility Reimbursements — top 4 plus rest</t>
        </is>
      </c>
      <c r="B43" s="17" t="n"/>
      <c r="C43" s="17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8" t="inlineStr">
        <is>
          <t>Total utility reimbursements</t>
        </is>
      </c>
      <c r="B48" s="10">
        <f>'P&amp;L Summary'!B13</f>
        <v/>
      </c>
      <c r="C48" s="10">
        <f>'P&amp;L Summary'!C13</f>
        <v/>
      </c>
    </row>
    <row r="50">
      <c r="A50" s="17" t="inlineStr">
        <is>
          <t>Utilities — top 4 plus rest</t>
        </is>
      </c>
      <c r="B50" s="17" t="n"/>
      <c r="C50" s="17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8" t="inlineStr">
        <is>
          <t>Total utilities</t>
        </is>
      </c>
      <c r="B57" s="10">
        <f>'P&amp;L Summary'!B27</f>
        <v/>
      </c>
      <c r="C57" s="10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7" t="inlineStr">
        <is>
          <t>Error check</t>
        </is>
      </c>
      <c r="B5" s="17" t="n"/>
      <c r="C5" s="17" t="n"/>
      <c r="D5" s="17" t="n"/>
      <c r="E5" s="17" t="n"/>
      <c r="F5" s="17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7">
        <f>'P&amp;L Summary'!B16</f>
        <v/>
      </c>
      <c r="C7" s="6" t="n">
        <v>3814903.84</v>
      </c>
      <c r="D7" s="7">
        <f>IFERROR(B7-C7,"")</f>
        <v/>
      </c>
      <c r="E7" s="5">
        <f>IF(C7="","NOT CHECKED",IF(ABS(D7)&lt;=1,"OK","REVIEW"))</f>
        <v/>
      </c>
      <c r="F7" s="5" t="inlineStr"/>
    </row>
    <row r="8">
      <c r="A8" s="5" t="inlineStr">
        <is>
          <t>Total Operating Expenses</t>
        </is>
      </c>
      <c r="B8" s="7">
        <f>'P&amp;L Summary'!B29</f>
        <v/>
      </c>
      <c r="C8" s="6" t="n">
        <v>1688442.2</v>
      </c>
      <c r="D8" s="7">
        <f>IFERROR(B8-C8,"")</f>
        <v/>
      </c>
      <c r="E8" s="5">
        <f>IF(C8="","NOT CHECKED",IF(ABS(D8)&lt;=1,"OK","REVIEW"))</f>
        <v/>
      </c>
      <c r="F8" s="5" t="inlineStr"/>
    </row>
    <row r="9">
      <c r="A9" s="5" t="inlineStr">
        <is>
          <t>Net Operating Income</t>
        </is>
      </c>
      <c r="B9" s="7">
        <f>'P&amp;L Summary'!B30</f>
        <v/>
      </c>
      <c r="C9" s="6" t="n">
        <v>2126461.64</v>
      </c>
      <c r="D9" s="7">
        <f>IFERROR(B9-C9,"")</f>
        <v/>
      </c>
      <c r="E9" s="5">
        <f>IF(C9="","NOT CHECKED",IF(ABS(D9)&lt;=1,"OK","REVIEW"))</f>
        <v/>
      </c>
      <c r="F9" s="5" t="inlineStr"/>
    </row>
    <row r="10">
      <c r="A10" s="5" t="inlineStr">
        <is>
          <t>Other Income</t>
        </is>
      </c>
      <c r="B10" s="7">
        <f>'P&amp;L Summary'!B14</f>
        <v/>
      </c>
      <c r="C10" s="6" t="n">
        <v>131904.63</v>
      </c>
      <c r="D10" s="7">
        <f>IFERROR(B10-C10,"")</f>
        <v/>
      </c>
      <c r="E10" s="5">
        <f>IF(C10="","NOT CHECKED",IF(ABS(D10)&lt;=1,"OK","REVIEW"))</f>
        <v/>
      </c>
      <c r="F10" s="5" t="inlineStr"/>
    </row>
    <row r="11">
      <c r="A11" s="5" t="inlineStr">
        <is>
          <t>Utility Reimbursements</t>
        </is>
      </c>
      <c r="B11" s="7">
        <f>'P&amp;L Summary'!B13</f>
        <v/>
      </c>
      <c r="C11" s="6" t="n"/>
      <c r="D11" s="7">
        <f>IFERROR(B11-C11,"")</f>
        <v/>
      </c>
      <c r="E11" s="5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7">
        <f>'P&amp;L Summary'!B27</f>
        <v/>
      </c>
      <c r="C12" s="6" t="n">
        <v>263952.05</v>
      </c>
      <c r="D12" s="7">
        <f>IFERROR(B12-C12,"")</f>
        <v/>
      </c>
      <c r="E12" s="5">
        <f>IF(C12="","NOT CHECKED",IF(ABS(D12)&lt;=1,"OK","REVIEW"))</f>
        <v/>
      </c>
      <c r="F12" s="5" t="inlineStr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7" t="inlineStr">
        <is>
          <t>Pricing and cap rate (illustrative)</t>
        </is>
      </c>
      <c r="B16" s="17" t="n"/>
      <c r="C16" s="17" t="n"/>
      <c r="D16" s="17" t="n"/>
      <c r="E16" s="17" t="n"/>
      <c r="F16" s="17" t="n"/>
    </row>
    <row r="17">
      <c r="A17" s="5" t="inlineStr">
        <is>
          <t>Price per unit</t>
        </is>
      </c>
      <c r="B17" s="6" t="n">
        <v>215000</v>
      </c>
      <c r="C17" s="18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18">
      <c r="A18" s="5" t="inlineStr">
        <is>
          <t>Unit count</t>
        </is>
      </c>
      <c r="B18" s="6" t="n">
        <v>180</v>
      </c>
    </row>
    <row r="19">
      <c r="A19" s="5" t="inlineStr">
        <is>
          <t>Total purchase price</t>
        </is>
      </c>
      <c r="B19" s="7">
        <f>B17*B18</f>
        <v/>
      </c>
    </row>
    <row r="21">
      <c r="A21" s="5" t="inlineStr">
        <is>
          <t>T-12 revenue</t>
        </is>
      </c>
      <c r="B21" s="7">
        <f>'P&amp;L Summary'!B16</f>
        <v/>
      </c>
    </row>
    <row r="22">
      <c r="A22" s="5" t="inlineStr">
        <is>
          <t>T-12 operating expenses</t>
        </is>
      </c>
      <c r="B22" s="7">
        <f>'P&amp;L Summary'!B29</f>
        <v/>
      </c>
    </row>
    <row r="23">
      <c r="A23" s="5" t="inlineStr">
        <is>
          <t>T-12 net operating income</t>
        </is>
      </c>
      <c r="B23" s="7">
        <f>'P&amp;L Summary'!B30</f>
        <v/>
      </c>
    </row>
    <row r="24">
      <c r="A24" s="5" t="inlineStr">
        <is>
          <t>T-12 cap rate (illustrative)</t>
        </is>
      </c>
      <c r="B24" s="7">
        <f>IFERROR(B23/B19,"")</f>
        <v/>
      </c>
    </row>
    <row r="26">
      <c r="A26" s="5" t="inlineStr">
        <is>
          <t>T-3 annualized revenue</t>
        </is>
      </c>
      <c r="B26" s="7">
        <f>'P&amp;L Summary'!C16</f>
        <v/>
      </c>
    </row>
    <row r="27">
      <c r="A27" s="5" t="inlineStr">
        <is>
          <t>T-3 annualized operating expenses</t>
        </is>
      </c>
      <c r="B27" s="7">
        <f>'P&amp;L Summary'!C29</f>
        <v/>
      </c>
    </row>
    <row r="28">
      <c r="A28" s="5" t="inlineStr">
        <is>
          <t>T-3 annualized net operating income</t>
        </is>
      </c>
      <c r="B28" s="7">
        <f>'P&amp;L Summary'!C30</f>
        <v/>
      </c>
    </row>
    <row r="29">
      <c r="A29" s="5" t="inlineStr">
        <is>
          <t>T-3 annualized cap rate (illustrative)</t>
        </is>
      </c>
      <c r="B29" s="7">
        <f>IFERROR(B28/B19,"")</f>
        <v/>
      </c>
    </row>
    <row r="31">
      <c r="A31" s="5" t="inlineStr">
        <is>
          <t>Broker pro forma revenue</t>
        </is>
      </c>
      <c r="B31" s="6" t="n">
        <v>4051427.88</v>
      </c>
      <c r="C31" s="18" t="inlineStr">
        <is>
          <t>Kept in its own block; never merged into the T-12.</t>
        </is>
      </c>
    </row>
    <row r="32">
      <c r="A32" s="5" t="inlineStr">
        <is>
          <t>Broker pro forma operating expenses</t>
        </is>
      </c>
      <c r="B32" s="6" t="n">
        <v>1718834.16</v>
      </c>
    </row>
    <row r="33">
      <c r="A33" s="5" t="inlineStr">
        <is>
          <t>Broker pro forma net operating income</t>
        </is>
      </c>
      <c r="B33" s="6" t="n">
        <v>2332593.72</v>
      </c>
    </row>
    <row r="34">
      <c r="A34" s="5" t="inlineStr">
        <is>
          <t>Broker pro forma cap rate (illustrative)</t>
        </is>
      </c>
      <c r="B34" s="7">
        <f>IFERROR(B33/B19,"")</f>
        <v/>
      </c>
    </row>
    <row r="36">
      <c r="A36" s="17" t="inlineStr">
        <is>
          <t>Revenue trend</t>
        </is>
      </c>
      <c r="B36" s="17" t="n"/>
      <c r="C36" s="17" t="n"/>
      <c r="D36" s="17" t="n"/>
      <c r="E36" s="17" t="n"/>
      <c r="F36" s="17" t="n"/>
    </row>
    <row r="37">
      <c r="A37" s="5" t="inlineStr">
        <is>
          <t>T-12 revenue</t>
        </is>
      </c>
      <c r="B37" s="7">
        <f>'P&amp;L Summary'!B16</f>
        <v/>
      </c>
    </row>
    <row r="38">
      <c r="A38" s="5" t="inlineStr">
        <is>
          <t>T-6 revenue (annualized)</t>
        </is>
      </c>
      <c r="B38" s="7">
        <f>SUM('T-12 Data'!I39:N39)*2</f>
        <v/>
      </c>
      <c r="C38" s="18" t="inlineStr">
        <is>
          <t>Trailing six months times two, off the T-12 Data tab's computed revenue row.</t>
        </is>
      </c>
    </row>
    <row r="39">
      <c r="A39" s="5" t="inlineStr">
        <is>
          <t>T-3 revenue (annualized)</t>
        </is>
      </c>
      <c r="B39" s="7">
        <f>'P&amp;L Summary'!C16</f>
        <v/>
      </c>
    </row>
    <row r="40">
      <c r="A40" s="5" t="inlineStr">
        <is>
          <t>T-3 versus T-12</t>
        </is>
      </c>
      <c r="B40" s="7">
        <f>IFERROR(B39/B21-1,"")</f>
        <v/>
      </c>
      <c r="C40" s="18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2026-09-01T17:15:44Z</dcterms:modified>
  <cp:lastModifiedBy>AI Underwriting Pipeline</cp:lastModifiedBy>
</cp:coreProperties>
</file>