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 / 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General and Administrative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 / 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 / 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 / 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 / 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 / 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 / 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 / 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 / 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 / 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 / 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 / 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 / 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 / 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General and Administrative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Rent-roll tie-outs</t>
        </is>
      </c>
      <c r="B16" s="16" t="n"/>
      <c r="C16" s="16" t="n"/>
      <c r="D16" s="16" t="n"/>
      <c r="E16" s="16" t="n"/>
      <c r="F16" s="16" t="n"/>
    </row>
    <row r="17">
      <c r="A17" s="4" t="inlineStr">
        <is>
          <t>Check</t>
        </is>
      </c>
      <c r="B17" s="4" t="inlineStr">
        <is>
          <t>Our calc</t>
        </is>
      </c>
      <c r="C17" s="4" t="inlineStr">
        <is>
          <t>Source</t>
        </is>
      </c>
      <c r="D17" s="4" t="inlineStr">
        <is>
          <t>Difference</t>
        </is>
      </c>
      <c r="E17" s="4" t="inlineStr">
        <is>
          <t>Status</t>
        </is>
      </c>
      <c r="F17" s="4" t="inlineStr">
        <is>
          <t>Note</t>
        </is>
      </c>
    </row>
    <row r="18">
      <c r="A18" s="5" t="inlineStr">
        <is>
          <t>Total units</t>
        </is>
      </c>
      <c r="B18" s="6" t="n">
        <v>180</v>
      </c>
      <c r="C18" s="6" t="n">
        <v>180</v>
      </c>
      <c r="D18" s="6" t="n">
        <v>0</v>
      </c>
      <c r="E18" s="5" t="inlineStr">
        <is>
          <t>OK</t>
        </is>
      </c>
      <c r="F18" s="18" t="inlineStr">
        <is>
          <t>Unit count after de-duplicating rows for units listed twice mid-turnover.</t>
        </is>
      </c>
    </row>
    <row r="19">
      <c r="A19" s="5" t="inlineStr">
        <is>
          <t>Total square feet</t>
        </is>
      </c>
      <c r="B19" s="6" t="n">
        <v>190440</v>
      </c>
      <c r="C19" s="6" t="n">
        <v>178020</v>
      </c>
      <c r="D19" s="6" t="n">
        <v>12420</v>
      </c>
      <c r="E19" s="5" t="inlineStr">
        <is>
          <t>MISMATCH</t>
        </is>
      </c>
      <c r="F19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0">
      <c r="A20" s="5" t="inlineStr">
        <is>
          <t>Occupied units (physical)</t>
        </is>
      </c>
      <c r="B20" s="6" t="n">
        <v>177</v>
      </c>
      <c r="C20" s="17" t="n"/>
      <c r="D20" s="17" t="n"/>
      <c r="E20" s="5" t="inlineStr">
        <is>
          <t>NOT CHECKED</t>
        </is>
      </c>
      <c r="F20" s="18" t="inlineStr">
        <is>
          <t>The source states no per-status unit table, so physical occupancy cannot be tied to it.</t>
        </is>
      </c>
    </row>
    <row r="21">
      <c r="A21" s="5" t="inlineStr">
        <is>
          <t>Occupancy</t>
        </is>
      </c>
      <c r="B21" s="19" t="n">
        <v>0.9833333333333333</v>
      </c>
      <c r="C21" s="17" t="n"/>
      <c r="D21" s="17" t="n"/>
      <c r="E21" s="5" t="inlineStr">
        <is>
          <t>NOT CHECKED</t>
        </is>
      </c>
      <c r="F21" s="18" t="inlineStr">
        <is>
          <t>PHYSICAL occupancy: 177 of 180 units. Residents on notice count as occupied; down, model and employee units do not. Economic occupancy is a different number and is not this one.</t>
        </is>
      </c>
    </row>
    <row r="22">
      <c r="A22" s="5" t="inlineStr">
        <is>
          <t>Market rent (monthly total)</t>
        </is>
      </c>
      <c r="B22" s="6" t="n">
        <v>342300.5</v>
      </c>
      <c r="C22" s="6" t="n">
        <v>342300.5</v>
      </c>
      <c r="D22" s="6" t="n">
        <v>0</v>
      </c>
      <c r="E22" s="5" t="inlineStr">
        <is>
          <t>OK</t>
        </is>
      </c>
      <c r="F22" s="18" t="inlineStr">
        <is>
          <t>Validates row COMPLETENESS — 180 units counted once each, none dropped or double-counted. It does NOT validate which row was kept on a duplicate: all 3 turnover pair(s) here carry the same market rent on both rows, so this total is identical under either de-duplication rule while in-place rent is not. The row CHOICE is checked separately below.</t>
        </is>
      </c>
    </row>
    <row r="23">
      <c r="A23" s="5" t="inlineStr">
        <is>
          <t>Duplicate rows: kept the in-place lease</t>
        </is>
      </c>
      <c r="B23" s="6" t="n">
        <v>3</v>
      </c>
      <c r="C23" s="6" t="n">
        <v>3</v>
      </c>
      <c r="D23" s="6" t="n">
        <v>0</v>
      </c>
      <c r="E23" s="5" t="inlineStr">
        <is>
          <t>OK</t>
        </is>
      </c>
      <c r="F23" s="18" t="inlineStr">
        <is>
          <t>3 unit(s) listed twice; every one where an in-place row was available retained it (1 had none — D-NOCUR, where the alternative row carries no status and no rent, so keeping the other is correct). Keeping the other row instead would move in-place rent by $1,599/mo ($19,188/yr) — which the market-rent tie-out above cannot see.</t>
        </is>
      </c>
    </row>
    <row r="24">
      <c r="A24" s="5" t="inlineStr">
        <is>
          <t>Occupied units</t>
        </is>
      </c>
      <c r="B24" s="6" t="n">
        <v>177</v>
      </c>
      <c r="C24" s="17" t="n"/>
      <c r="D24" s="17" t="n"/>
      <c r="E24" s="5" t="inlineStr">
        <is>
          <t>INFO</t>
        </is>
      </c>
      <c r="F24" s="18" t="inlineStr">
        <is>
          <t>The numerator above, stated separately so the ratio can be re-derived.</t>
        </is>
      </c>
    </row>
    <row r="26">
      <c r="A26" s="10" t="inlineStr">
        <is>
          <t>3/6 tie-outs OK; 2 NOT CHECKED</t>
        </is>
      </c>
    </row>
    <row r="27">
      <c r="A27" s="2" t="inlineStr">
        <is>
          <t>A total the source export never printed reads NOT CHECKED and stays in the denominator above — excluding it would let a check that could not run flatter the ratio. Occupancy here is PHYSICAL: 177/180 units, physical. Down, model and employee units count as vacant.</t>
        </is>
      </c>
    </row>
    <row r="29">
      <c r="A29" s="16" t="inlineStr">
        <is>
          <t>Rent readback — 10 units, sampled reproducibly</t>
        </is>
      </c>
      <c r="B29" s="16" t="n"/>
      <c r="C29" s="16" t="n"/>
      <c r="D29" s="16" t="n"/>
      <c r="E29" s="16" t="n"/>
      <c r="F29" s="16" t="n"/>
    </row>
    <row r="30">
      <c r="A30" s="4" t="inlineStr">
        <is>
          <t>Unit</t>
        </is>
      </c>
      <c r="B30" s="4" t="inlineStr">
        <is>
          <t>Plan</t>
        </is>
      </c>
      <c r="C30" s="4" t="inlineStr">
        <is>
          <t>Our in-place rent</t>
        </is>
      </c>
      <c r="D30" s="4" t="inlineStr">
        <is>
          <t>Source cell value</t>
        </is>
      </c>
      <c r="E30" s="4" t="inlineStr">
        <is>
          <t>Source locator</t>
        </is>
      </c>
      <c r="F30" s="4" t="inlineStr">
        <is>
          <t>Status</t>
        </is>
      </c>
    </row>
    <row r="31">
      <c r="A31" s="5" t="inlineStr">
        <is>
          <t>A1-123</t>
        </is>
      </c>
      <c r="B31" s="5" t="inlineStr">
        <is>
          <t>A1</t>
        </is>
      </c>
      <c r="C31" s="6" t="n">
        <v>1417</v>
      </c>
      <c r="D31" s="6" t="n">
        <v>1417</v>
      </c>
      <c r="E31" s="5" t="inlineStr">
        <is>
          <t>Rent Roll (source)!F26</t>
        </is>
      </c>
      <c r="F31" s="5" t="inlineStr">
        <is>
          <t>OK</t>
        </is>
      </c>
    </row>
    <row r="32">
      <c r="A32" s="5" t="inlineStr">
        <is>
          <t>A1-130</t>
        </is>
      </c>
      <c r="B32" s="5" t="inlineStr">
        <is>
          <t>A1</t>
        </is>
      </c>
      <c r="C32" s="6" t="n">
        <v>1438</v>
      </c>
      <c r="D32" s="6" t="n">
        <v>1438</v>
      </c>
      <c r="E32" s="5" t="inlineStr">
        <is>
          <t>Rent Roll (source)!F33</t>
        </is>
      </c>
      <c r="F32" s="5" t="inlineStr">
        <is>
          <t>OK</t>
        </is>
      </c>
    </row>
    <row r="33">
      <c r="A33" s="5" t="inlineStr">
        <is>
          <t>A2-108</t>
        </is>
      </c>
      <c r="B33" s="5" t="inlineStr">
        <is>
          <t>A2</t>
        </is>
      </c>
      <c r="C33" s="6" t="n">
        <v>1564</v>
      </c>
      <c r="D33" s="6" t="n">
        <v>1564</v>
      </c>
      <c r="E33" s="5" t="inlineStr">
        <is>
          <t>Rent Roll (source)!F45</t>
        </is>
      </c>
      <c r="F33" s="5" t="inlineStr">
        <is>
          <t>OK</t>
        </is>
      </c>
    </row>
    <row r="34">
      <c r="A34" s="5" t="inlineStr">
        <is>
          <t>B1-101</t>
        </is>
      </c>
      <c r="B34" s="5" t="inlineStr">
        <is>
          <t>B1</t>
        </is>
      </c>
      <c r="C34" s="6" t="n">
        <v>1831</v>
      </c>
      <c r="D34" s="6" t="n">
        <v>1831</v>
      </c>
      <c r="E34" s="5" t="inlineStr">
        <is>
          <t>Rent Roll (source)!F66</t>
        </is>
      </c>
      <c r="F34" s="5" t="inlineStr">
        <is>
          <t>OK</t>
        </is>
      </c>
    </row>
    <row r="35">
      <c r="A35" s="5" t="inlineStr">
        <is>
          <t>B1-103</t>
        </is>
      </c>
      <c r="B35" s="5" t="inlineStr">
        <is>
          <t>B1</t>
        </is>
      </c>
      <c r="C35" s="6" t="n">
        <v>1809</v>
      </c>
      <c r="D35" s="6" t="n">
        <v>1809</v>
      </c>
      <c r="E35" s="5" t="inlineStr">
        <is>
          <t>Rent Roll (source)!F68</t>
        </is>
      </c>
      <c r="F35" s="5" t="inlineStr">
        <is>
          <t>OK</t>
        </is>
      </c>
    </row>
    <row r="36">
      <c r="A36" s="5" t="inlineStr">
        <is>
          <t>B1-113</t>
        </is>
      </c>
      <c r="B36" s="5" t="inlineStr">
        <is>
          <t>B1</t>
        </is>
      </c>
      <c r="C36" s="6" t="n">
        <v>1734</v>
      </c>
      <c r="D36" s="6" t="n">
        <v>1734</v>
      </c>
      <c r="E36" s="5" t="inlineStr">
        <is>
          <t>Rent Roll (source)!F78</t>
        </is>
      </c>
      <c r="F36" s="5" t="inlineStr">
        <is>
          <t>OK</t>
        </is>
      </c>
    </row>
    <row r="37">
      <c r="A37" s="5" t="inlineStr">
        <is>
          <t>B1-126</t>
        </is>
      </c>
      <c r="B37" s="5" t="inlineStr">
        <is>
          <t>B1</t>
        </is>
      </c>
      <c r="C37" s="6" t="n">
        <v>1799</v>
      </c>
      <c r="D37" s="6" t="n">
        <v>1799</v>
      </c>
      <c r="E37" s="5" t="inlineStr">
        <is>
          <t>Rent Roll (source)!F91</t>
        </is>
      </c>
      <c r="F37" s="5" t="inlineStr">
        <is>
          <t>OK</t>
        </is>
      </c>
    </row>
    <row r="38">
      <c r="A38" s="5" t="inlineStr">
        <is>
          <t>B2-123</t>
        </is>
      </c>
      <c r="B38" s="5" t="inlineStr">
        <is>
          <t>B2</t>
        </is>
      </c>
      <c r="C38" s="6" t="n">
        <v>1887</v>
      </c>
      <c r="D38" s="6" t="n">
        <v>1887</v>
      </c>
      <c r="E38" s="5" t="inlineStr">
        <is>
          <t>Rent Roll (source)!F130</t>
        </is>
      </c>
      <c r="F38" s="5" t="inlineStr">
        <is>
          <t>OK</t>
        </is>
      </c>
    </row>
    <row r="39">
      <c r="A39" s="5" t="inlineStr">
        <is>
          <t>C1-118</t>
        </is>
      </c>
      <c r="B39" s="5" t="inlineStr">
        <is>
          <t>C1</t>
        </is>
      </c>
      <c r="C39" s="6" t="n">
        <v>2056</v>
      </c>
      <c r="D39" s="6" t="n">
        <v>2056</v>
      </c>
      <c r="E39" s="5" t="inlineStr">
        <is>
          <t>Rent Roll (source)!F161</t>
        </is>
      </c>
      <c r="F39" s="5" t="inlineStr">
        <is>
          <t>OK</t>
        </is>
      </c>
    </row>
    <row r="40">
      <c r="A40" s="5" t="inlineStr">
        <is>
          <t>Cypress-106</t>
        </is>
      </c>
      <c r="B40" s="5" t="inlineStr">
        <is>
          <t>Cypress TH</t>
        </is>
      </c>
      <c r="C40" s="6" t="n">
        <v>2343</v>
      </c>
      <c r="D40" s="6" t="n">
        <v>2343</v>
      </c>
      <c r="E40" s="5" t="inlineStr">
        <is>
          <t>Rent Roll (source)!F175</t>
        </is>
      </c>
      <c r="F40" s="5" t="inlineStr">
        <is>
          <t>OK</t>
        </is>
      </c>
    </row>
    <row r="42">
      <c r="A42" s="10" t="inlineStr">
        <is>
          <t>10 of 10 match within $0.50. Sample seeded from the roll's as-of date (2026-06-30|180), so the same roll always checks the same units and a reviewer re-running this sees these rows.</t>
        </is>
      </c>
    </row>
    <row r="43" ht="34" customHeight="1">
      <c r="A43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45">
      <c r="A45" s="16" t="inlineStr">
        <is>
          <t>Pricing and cap rate (illustrative)</t>
        </is>
      </c>
      <c r="B45" s="16" t="n"/>
      <c r="C45" s="16" t="n"/>
      <c r="D45" s="16" t="n"/>
      <c r="E45" s="16" t="n"/>
      <c r="F45" s="16" t="n"/>
    </row>
    <row r="46">
      <c r="A46" s="5" t="inlineStr">
        <is>
          <t>Price per unit</t>
        </is>
      </c>
      <c r="B46" s="6" t="n">
        <v>215000</v>
      </c>
      <c r="C46" s="20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47">
      <c r="A47" s="5" t="inlineStr">
        <is>
          <t>Unit count</t>
        </is>
      </c>
      <c r="B47" s="6" t="n">
        <v>180</v>
      </c>
    </row>
    <row r="48">
      <c r="A48" s="5" t="inlineStr">
        <is>
          <t>Total purchase price</t>
        </is>
      </c>
      <c r="B48" s="6">
        <f>B46*B47</f>
        <v/>
      </c>
    </row>
    <row r="50">
      <c r="A50" s="5" t="inlineStr">
        <is>
          <t>T-12 revenue</t>
        </is>
      </c>
      <c r="B50" s="6">
        <f>'P&amp;L Summary'!B16</f>
        <v/>
      </c>
    </row>
    <row r="51">
      <c r="A51" s="5" t="inlineStr">
        <is>
          <t>T-12 operating expenses</t>
        </is>
      </c>
      <c r="B51" s="6">
        <f>'P&amp;L Summary'!B29</f>
        <v/>
      </c>
    </row>
    <row r="52">
      <c r="A52" s="5" t="inlineStr">
        <is>
          <t>T-12 net operating income</t>
        </is>
      </c>
      <c r="B52" s="6">
        <f>'P&amp;L Summary'!B30</f>
        <v/>
      </c>
    </row>
    <row r="53">
      <c r="A53" s="5" t="inlineStr">
        <is>
          <t>T-12 cap rate (illustrative)</t>
        </is>
      </c>
      <c r="B53" s="21">
        <f>IFERROR(B52/B48,"")</f>
        <v/>
      </c>
    </row>
    <row r="55">
      <c r="A55" s="5" t="inlineStr">
        <is>
          <t>T-3 annualized revenue</t>
        </is>
      </c>
      <c r="B55" s="6">
        <f>'P&amp;L Summary'!C16</f>
        <v/>
      </c>
    </row>
    <row r="56">
      <c r="A56" s="5" t="inlineStr">
        <is>
          <t>T-3 annualized operating expenses</t>
        </is>
      </c>
      <c r="B56" s="6">
        <f>'P&amp;L Summary'!C29</f>
        <v/>
      </c>
    </row>
    <row r="57">
      <c r="A57" s="5" t="inlineStr">
        <is>
          <t>T-3 annualized net operating income</t>
        </is>
      </c>
      <c r="B57" s="6">
        <f>'P&amp;L Summary'!C30</f>
        <v/>
      </c>
    </row>
    <row r="58">
      <c r="A58" s="5" t="inlineStr">
        <is>
          <t>T-3 annualized cap rate (illustrative)</t>
        </is>
      </c>
      <c r="B58" s="21">
        <f>IFERROR(B57/B48,"")</f>
        <v/>
      </c>
    </row>
    <row r="60">
      <c r="A60" s="5" t="inlineStr">
        <is>
          <t>Broker pro forma revenue</t>
        </is>
      </c>
      <c r="B60" s="6" t="n">
        <v>4051427.88</v>
      </c>
      <c r="C60" s="20" t="inlineStr">
        <is>
          <t>Kept in its own block; never merged into the T-12.</t>
        </is>
      </c>
    </row>
    <row r="61">
      <c r="A61" s="5" t="inlineStr">
        <is>
          <t>Broker pro forma operating expenses</t>
        </is>
      </c>
      <c r="B61" s="6" t="n">
        <v>1718834.16</v>
      </c>
    </row>
    <row r="62">
      <c r="A62" s="5" t="inlineStr">
        <is>
          <t>Broker pro forma net operating income</t>
        </is>
      </c>
      <c r="B62" s="6" t="n">
        <v>2332593.72</v>
      </c>
    </row>
    <row r="63">
      <c r="A63" s="5" t="inlineStr">
        <is>
          <t>Broker pro forma cap rate (illustrative)</t>
        </is>
      </c>
      <c r="B63" s="21">
        <f>IFERROR(B62/B48,"")</f>
        <v/>
      </c>
    </row>
    <row r="65">
      <c r="A65" s="16" t="inlineStr">
        <is>
          <t>Revenue trend</t>
        </is>
      </c>
      <c r="B65" s="16" t="n"/>
      <c r="C65" s="16" t="n"/>
      <c r="D65" s="16" t="n"/>
      <c r="E65" s="16" t="n"/>
      <c r="F65" s="16" t="n"/>
    </row>
    <row r="66">
      <c r="A66" s="5" t="inlineStr">
        <is>
          <t>T-12 revenue</t>
        </is>
      </c>
      <c r="B66" s="6">
        <f>'P&amp;L Summary'!B16</f>
        <v/>
      </c>
    </row>
    <row r="67">
      <c r="A67" s="5" t="inlineStr">
        <is>
          <t>T-6 revenue (annualized)</t>
        </is>
      </c>
      <c r="B67" s="6">
        <f>SUM('T-12 Data'!I39:N39)*2</f>
        <v/>
      </c>
      <c r="C67" s="20" t="inlineStr">
        <is>
          <t>Trailing six months times two, off the T-12 Data tab's computed revenue row.</t>
        </is>
      </c>
    </row>
    <row r="68">
      <c r="A68" s="5" t="inlineStr">
        <is>
          <t>T-3 revenue (annualized)</t>
        </is>
      </c>
      <c r="B68" s="6">
        <f>'P&amp;L Summary'!C16</f>
        <v/>
      </c>
    </row>
    <row r="69">
      <c r="A69" s="5" t="inlineStr">
        <is>
          <t>T-3 versus T-12</t>
        </is>
      </c>
      <c r="B69" s="19">
        <f>IFERROR(B68/B50-1,"")</f>
        <v/>
      </c>
      <c r="C69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Illustrative. Inside the band a per-unit sale price occupies.</t>
        </is>
      </c>
    </row>
    <row r="10">
      <c r="A10" s="22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18" t="inlineStr">
        <is>
          <t>Twelve consecutive month-end columns; direction detected from the labels.</t>
        </is>
      </c>
    </row>
    <row r="12">
      <c r="A12" s="22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18" t="inlineStr">
        <is>
          <t>The statement's own printed subtotals, kept for the cross-tie.</t>
        </is>
      </c>
    </row>
    <row r="13">
      <c r="A13" s="22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